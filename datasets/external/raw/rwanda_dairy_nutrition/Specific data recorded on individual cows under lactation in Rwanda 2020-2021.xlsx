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5078\Desktop\Submission to ANM\December 024\Submission February 2025\"/>
    </mc:Choice>
  </mc:AlternateContent>
  <bookViews>
    <workbookView xWindow="0" yWindow="0" windowWidth="19200" windowHeight="7190"/>
  </bookViews>
  <sheets>
    <sheet name="Raw data" sheetId="1" r:id="rId1"/>
  </sheets>
  <definedNames>
    <definedName name="_xlnm._FilterDatabase" localSheetId="0" hidden="1">'Raw data'!$M$11:$M$107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" i="1" l="1"/>
  <c r="O14" i="1" l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P22" i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3" i="1"/>
  <c r="P13" i="1" s="1"/>
  <c r="O12" i="1"/>
  <c r="P12" i="1" s="1"/>
</calcChain>
</file>

<file path=xl/sharedStrings.xml><?xml version="1.0" encoding="utf-8"?>
<sst xmlns="http://schemas.openxmlformats.org/spreadsheetml/2006/main" count="272" uniqueCount="65">
  <si>
    <t>sites</t>
  </si>
  <si>
    <t>LabN°</t>
  </si>
  <si>
    <t>cowbreed</t>
  </si>
  <si>
    <t>cowageinyears</t>
  </si>
  <si>
    <t>parity</t>
  </si>
  <si>
    <t>Bodyweight</t>
  </si>
  <si>
    <t>MW</t>
  </si>
  <si>
    <t>gapmilk</t>
  </si>
  <si>
    <t>potentialmilk</t>
  </si>
  <si>
    <t>%gapmilk</t>
  </si>
  <si>
    <t>waterday</t>
  </si>
  <si>
    <t>waterrequi.</t>
  </si>
  <si>
    <t>gapwater</t>
  </si>
  <si>
    <t>%watergap</t>
  </si>
  <si>
    <t>daysinmilk</t>
  </si>
  <si>
    <t>lactationperiod</t>
  </si>
  <si>
    <t>DMfeeds</t>
  </si>
  <si>
    <t>MEfeeds</t>
  </si>
  <si>
    <t>DMIindex</t>
  </si>
  <si>
    <t>DMIcapacity (kgDM)</t>
  </si>
  <si>
    <t>DMI gap</t>
  </si>
  <si>
    <t>%gapDMI</t>
  </si>
  <si>
    <t>MEIntake</t>
  </si>
  <si>
    <t>MW*0.589=Energyformaintenance</t>
  </si>
  <si>
    <t>gapME</t>
  </si>
  <si>
    <t>%MEgap</t>
  </si>
  <si>
    <t>CPmaint=6.27*MW</t>
  </si>
  <si>
    <t>CPmilk</t>
  </si>
  <si>
    <t>TotalreqCP</t>
  </si>
  <si>
    <t>%Protein</t>
  </si>
  <si>
    <t>Protein/content/gr/kg</t>
  </si>
  <si>
    <t>Cpintakeingr</t>
  </si>
  <si>
    <t>gapCP</t>
  </si>
  <si>
    <t>%CP gap</t>
  </si>
  <si>
    <t>Cross</t>
  </si>
  <si>
    <t>exotic</t>
  </si>
  <si>
    <t>MEmaint+peakmilk</t>
  </si>
  <si>
    <t>Ass.calfmilk</t>
  </si>
  <si>
    <t>hand-milked yield</t>
  </si>
  <si>
    <t>DMIR kg</t>
  </si>
  <si>
    <t>Peak</t>
  </si>
  <si>
    <t>Mid</t>
  </si>
  <si>
    <t>Late</t>
  </si>
  <si>
    <t>5.023*peakMilk</t>
  </si>
  <si>
    <t>NDF feeds</t>
  </si>
  <si>
    <t>Total milk performance</t>
  </si>
  <si>
    <t>local*fresian</t>
  </si>
  <si>
    <t>fresian*jersey</t>
  </si>
  <si>
    <t>local*fresian*jersey*jersey</t>
  </si>
  <si>
    <t>local*fresian*jersey*fresian</t>
  </si>
  <si>
    <t>local*fresian*fresian*jersey</t>
  </si>
  <si>
    <t>fresian*sahiwal*jersey</t>
  </si>
  <si>
    <t>sahiwal*jersey</t>
  </si>
  <si>
    <t>local*jersey</t>
  </si>
  <si>
    <t>fresian*sahiwal*fresian</t>
  </si>
  <si>
    <t>fresian*jersey*fresian</t>
  </si>
  <si>
    <t>DM served</t>
  </si>
  <si>
    <t>leftover</t>
  </si>
  <si>
    <t>Energy, protein, dry matter and water gap analysis in dairy cows kept under cut and carry fodder- based feeding system.</t>
  </si>
  <si>
    <t xml:space="preserve"> (Animal Open Space Journal) </t>
  </si>
  <si>
    <t>Raw data 1. Specific data recorded on individual cows under lactation in Rwanda 2020/2021</t>
  </si>
  <si>
    <t xml:space="preserve">O.Umunezero ab ,C.K.Gachuiri a M.Mutimura b. </t>
  </si>
  <si>
    <t>a Department of Animal Production, University of Nairobi, PO Box 29053-00625, Nairobi, Kenya</t>
  </si>
  <si>
    <t xml:space="preserve">b Department of Animal Resources Research and Technology Transfer at Rwanda Agriculture and Animal Resources Development Board, P.O Box 5016, Kigali, Rwanda </t>
  </si>
  <si>
    <t>Corresponding author: Olive Umunezero. Email: olive.umunezero@gmail.com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</si>
</sst>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0" borderId="0" xfId="0" applyFont="1"/>
    <xf numFmtId="0" fontId="1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7"/>
  <sheetViews>
    <sheetView tabSelected="1" workbookViewId="0">
      <selection activeCell="A5" sqref="A5:A7"/>
    </sheetView>
  </sheetViews>
  <sheetFormatPr defaultRowHeight="14.5" x14ac:dyDescent="0.35"/>
  <cols>
    <col min="9" max="10" width="8.7265625" style="1"/>
    <col min="11" max="11" width="8.7265625" style="3"/>
    <col min="14" max="17" width="8.7265625" style="1"/>
    <col min="23" max="25" width="8.7265625" style="3"/>
    <col min="36" max="36" width="8.7265625" style="3"/>
    <col min="40" max="40" width="7.26953125" customWidth="1"/>
  </cols>
  <sheetData>
    <row r="1" spans="1:43" x14ac:dyDescent="0.35">
      <c r="A1" s="5" t="s">
        <v>58</v>
      </c>
    </row>
    <row r="2" spans="1:43" x14ac:dyDescent="0.35">
      <c r="A2" t="s">
        <v>59</v>
      </c>
    </row>
    <row r="3" spans="1:43" x14ac:dyDescent="0.35">
      <c r="A3" t="s">
        <v>61</v>
      </c>
    </row>
    <row r="5" spans="1:43" x14ac:dyDescent="0.35">
      <c r="A5" t="s">
        <v>62</v>
      </c>
    </row>
    <row r="6" spans="1:43" x14ac:dyDescent="0.35">
      <c r="A6" t="s">
        <v>63</v>
      </c>
    </row>
    <row r="7" spans="1:43" x14ac:dyDescent="0.35">
      <c r="A7" t="s">
        <v>64</v>
      </c>
    </row>
    <row r="9" spans="1:43" x14ac:dyDescent="0.35">
      <c r="A9" s="5" t="s">
        <v>60</v>
      </c>
    </row>
    <row r="11" spans="1:43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39</v>
      </c>
      <c r="I11" s="1" t="s">
        <v>56</v>
      </c>
      <c r="J11" s="1" t="s">
        <v>57</v>
      </c>
      <c r="K11" s="3" t="s">
        <v>14</v>
      </c>
      <c r="L11" t="s">
        <v>15</v>
      </c>
      <c r="M11" t="s">
        <v>37</v>
      </c>
      <c r="N11" s="1" t="s">
        <v>38</v>
      </c>
      <c r="O11" s="1" t="s">
        <v>45</v>
      </c>
      <c r="P11" s="1" t="s">
        <v>7</v>
      </c>
      <c r="Q11" s="1" t="s">
        <v>8</v>
      </c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s="3" t="s">
        <v>16</v>
      </c>
      <c r="X11" s="3" t="s">
        <v>17</v>
      </c>
      <c r="Y11" s="3" t="s">
        <v>44</v>
      </c>
      <c r="Z11" t="s">
        <v>18</v>
      </c>
      <c r="AA11" t="s">
        <v>19</v>
      </c>
      <c r="AB11" t="s">
        <v>20</v>
      </c>
      <c r="AC11" t="s">
        <v>21</v>
      </c>
      <c r="AD11" t="s">
        <v>22</v>
      </c>
      <c r="AE11" t="s">
        <v>23</v>
      </c>
      <c r="AF11" t="s">
        <v>43</v>
      </c>
      <c r="AG11" t="s">
        <v>36</v>
      </c>
      <c r="AH11" t="s">
        <v>24</v>
      </c>
      <c r="AI11" t="s">
        <v>25</v>
      </c>
      <c r="AJ11" s="3" t="s">
        <v>29</v>
      </c>
      <c r="AK11" t="s">
        <v>30</v>
      </c>
      <c r="AL11" t="s">
        <v>31</v>
      </c>
      <c r="AM11" t="s">
        <v>26</v>
      </c>
      <c r="AN11" t="s">
        <v>27</v>
      </c>
      <c r="AO11" t="s">
        <v>28</v>
      </c>
      <c r="AP11" t="s">
        <v>32</v>
      </c>
      <c r="AQ11" t="s">
        <v>33</v>
      </c>
    </row>
    <row r="12" spans="1:43" x14ac:dyDescent="0.35">
      <c r="A12">
        <v>1</v>
      </c>
      <c r="B12">
        <v>224</v>
      </c>
      <c r="C12" t="s">
        <v>34</v>
      </c>
      <c r="D12">
        <v>8</v>
      </c>
      <c r="E12">
        <v>4</v>
      </c>
      <c r="F12">
        <v>432</v>
      </c>
      <c r="G12">
        <v>94.75732893</v>
      </c>
      <c r="H12">
        <v>15.12</v>
      </c>
      <c r="I12" s="1">
        <v>16.157240000000002</v>
      </c>
      <c r="J12" s="1">
        <v>8.3511866950000027</v>
      </c>
      <c r="K12" s="3">
        <v>270</v>
      </c>
      <c r="L12" t="s">
        <v>42</v>
      </c>
      <c r="M12">
        <v>0</v>
      </c>
      <c r="N12" s="1">
        <v>3</v>
      </c>
      <c r="O12" s="1">
        <f>M12+N12</f>
        <v>3</v>
      </c>
      <c r="P12" s="1">
        <f>Q12-O12</f>
        <v>12</v>
      </c>
      <c r="Q12" s="1">
        <v>15</v>
      </c>
      <c r="R12">
        <v>80</v>
      </c>
      <c r="S12">
        <v>20</v>
      </c>
      <c r="T12">
        <v>55.76</v>
      </c>
      <c r="U12">
        <v>35.758000000000003</v>
      </c>
      <c r="V12">
        <v>64.128407460000005</v>
      </c>
      <c r="W12" s="3">
        <v>28.53</v>
      </c>
      <c r="X12" s="3">
        <v>5.9183011600000004</v>
      </c>
      <c r="Y12" s="3">
        <v>66.41</v>
      </c>
      <c r="Z12">
        <v>1.806956784</v>
      </c>
      <c r="AA12">
        <v>7.8060533049999998</v>
      </c>
      <c r="AB12">
        <v>7.3139466950000003</v>
      </c>
      <c r="AC12">
        <v>48.372663330000002</v>
      </c>
      <c r="AD12">
        <v>46.19857433</v>
      </c>
      <c r="AE12">
        <v>55.812066739999999</v>
      </c>
      <c r="AF12">
        <v>75.344999999999999</v>
      </c>
      <c r="AG12">
        <v>131.1570667</v>
      </c>
      <c r="AH12">
        <v>84.958492410000005</v>
      </c>
      <c r="AI12">
        <v>64.77614552</v>
      </c>
      <c r="AJ12" s="3">
        <v>10.02</v>
      </c>
      <c r="AK12">
        <v>100.2</v>
      </c>
      <c r="AL12">
        <v>782.16654119999998</v>
      </c>
      <c r="AM12">
        <v>594.12845240000001</v>
      </c>
      <c r="AN12">
        <v>1230</v>
      </c>
      <c r="AO12">
        <v>1824.1284519999999</v>
      </c>
      <c r="AP12">
        <v>1041.9619110000001</v>
      </c>
      <c r="AQ12">
        <v>57.121082119999997</v>
      </c>
    </row>
    <row r="13" spans="1:43" x14ac:dyDescent="0.35">
      <c r="A13">
        <v>1</v>
      </c>
      <c r="B13">
        <v>225</v>
      </c>
      <c r="C13" t="s">
        <v>34</v>
      </c>
      <c r="E13">
        <v>3</v>
      </c>
      <c r="F13">
        <v>520</v>
      </c>
      <c r="G13">
        <v>108.8936381</v>
      </c>
      <c r="H13">
        <v>18.2</v>
      </c>
      <c r="I13" s="1">
        <v>13.799399999999999</v>
      </c>
      <c r="J13" s="1">
        <v>0.97308961999999788</v>
      </c>
      <c r="K13" s="3">
        <v>180</v>
      </c>
      <c r="L13" t="s">
        <v>41</v>
      </c>
      <c r="M13">
        <v>1</v>
      </c>
      <c r="N13" s="1">
        <v>3.5</v>
      </c>
      <c r="O13" s="1">
        <f>M13+N13</f>
        <v>4.5</v>
      </c>
      <c r="P13" s="1">
        <f>Q13-O13</f>
        <v>10.5</v>
      </c>
      <c r="Q13" s="1">
        <v>15</v>
      </c>
      <c r="R13">
        <v>70</v>
      </c>
      <c r="S13">
        <v>20</v>
      </c>
      <c r="T13">
        <v>62.38</v>
      </c>
      <c r="U13">
        <v>42.38</v>
      </c>
      <c r="V13">
        <v>67.93844181</v>
      </c>
      <c r="W13" s="3">
        <v>22.42</v>
      </c>
      <c r="X13" s="3">
        <v>3.77242736</v>
      </c>
      <c r="Y13" s="3">
        <v>48.65</v>
      </c>
      <c r="Z13">
        <v>2.4665981499999998</v>
      </c>
      <c r="AA13">
        <v>12.826310380000001</v>
      </c>
      <c r="AB13">
        <v>5.3736896200000004</v>
      </c>
      <c r="AC13">
        <v>29.525767139999999</v>
      </c>
      <c r="AD13">
        <v>48.386324209999998</v>
      </c>
      <c r="AE13">
        <v>64.138352850000004</v>
      </c>
      <c r="AF13">
        <v>75.344999999999999</v>
      </c>
      <c r="AG13">
        <v>139.48335280000001</v>
      </c>
      <c r="AH13">
        <v>91.097028640000005</v>
      </c>
      <c r="AI13">
        <v>65.310323260000004</v>
      </c>
      <c r="AJ13" s="3">
        <v>10.28</v>
      </c>
      <c r="AK13">
        <v>102.8</v>
      </c>
      <c r="AL13">
        <v>1318.544707</v>
      </c>
      <c r="AM13">
        <v>682.76311099999998</v>
      </c>
      <c r="AN13">
        <v>1230</v>
      </c>
      <c r="AO13">
        <v>1912.763111</v>
      </c>
      <c r="AP13">
        <v>594.2184039</v>
      </c>
      <c r="AQ13">
        <v>31.065969460000002</v>
      </c>
    </row>
    <row r="14" spans="1:43" x14ac:dyDescent="0.35">
      <c r="A14">
        <v>1</v>
      </c>
      <c r="B14">
        <v>227</v>
      </c>
      <c r="C14" t="s">
        <v>34</v>
      </c>
      <c r="D14">
        <v>6</v>
      </c>
      <c r="E14">
        <v>2</v>
      </c>
      <c r="F14">
        <v>490</v>
      </c>
      <c r="G14">
        <v>104.1470709</v>
      </c>
      <c r="H14">
        <v>17.149999999999999</v>
      </c>
      <c r="I14" s="1">
        <v>11.273999999999901</v>
      </c>
      <c r="J14" s="1">
        <v>0.93826436999990115</v>
      </c>
      <c r="K14" s="3">
        <v>240</v>
      </c>
      <c r="L14" t="s">
        <v>42</v>
      </c>
      <c r="M14">
        <v>0</v>
      </c>
      <c r="N14" s="1">
        <v>2</v>
      </c>
      <c r="O14" s="1">
        <f t="shared" ref="O14:O77" si="0">M14+N14</f>
        <v>2</v>
      </c>
      <c r="P14" s="1">
        <f t="shared" ref="P14:P77" si="1">Q14-O14</f>
        <v>13</v>
      </c>
      <c r="Q14" s="1">
        <v>15</v>
      </c>
      <c r="R14">
        <v>86.666666666666671</v>
      </c>
      <c r="S14">
        <v>20</v>
      </c>
      <c r="T14">
        <v>60.12</v>
      </c>
      <c r="U14">
        <v>40.122500000000002</v>
      </c>
      <c r="V14">
        <v>66.737358619999995</v>
      </c>
      <c r="W14" s="3">
        <v>18.7</v>
      </c>
      <c r="X14" s="3">
        <v>6.2184624399999997</v>
      </c>
      <c r="Y14" s="3">
        <v>56.89</v>
      </c>
      <c r="Z14">
        <v>2.1093338020000001</v>
      </c>
      <c r="AA14">
        <v>10.33573563</v>
      </c>
      <c r="AB14">
        <v>6.8142643700000001</v>
      </c>
      <c r="AC14">
        <v>39.733319940000001</v>
      </c>
      <c r="AD14">
        <v>64.272383809999994</v>
      </c>
      <c r="AE14">
        <v>61.342624749999999</v>
      </c>
      <c r="AF14">
        <v>75.344999999999999</v>
      </c>
      <c r="AG14">
        <v>136.68762480000001</v>
      </c>
      <c r="AH14">
        <v>72.415240949999998</v>
      </c>
      <c r="AI14">
        <v>52.978637300000003</v>
      </c>
      <c r="AJ14" s="3">
        <v>9.06</v>
      </c>
      <c r="AK14">
        <v>90.6</v>
      </c>
      <c r="AL14">
        <v>936.41764809999995</v>
      </c>
      <c r="AM14">
        <v>653.00213450000001</v>
      </c>
      <c r="AN14">
        <v>1230</v>
      </c>
      <c r="AO14">
        <v>1883.0021340000001</v>
      </c>
      <c r="AP14">
        <v>946.58448639999995</v>
      </c>
      <c r="AQ14">
        <v>50.269963539999999</v>
      </c>
    </row>
    <row r="15" spans="1:43" x14ac:dyDescent="0.35">
      <c r="A15">
        <v>1</v>
      </c>
      <c r="B15">
        <v>228</v>
      </c>
      <c r="C15" t="s">
        <v>35</v>
      </c>
      <c r="D15">
        <v>6</v>
      </c>
      <c r="E15">
        <v>3</v>
      </c>
      <c r="F15">
        <v>496</v>
      </c>
      <c r="G15">
        <v>105.10206700000001</v>
      </c>
      <c r="H15">
        <v>17.36</v>
      </c>
      <c r="I15" s="1">
        <v>11.73</v>
      </c>
      <c r="J15" s="1">
        <v>2.2492736539999996</v>
      </c>
      <c r="K15" s="3">
        <v>30</v>
      </c>
      <c r="L15" t="s">
        <v>40</v>
      </c>
      <c r="M15">
        <v>6</v>
      </c>
      <c r="N15" s="1">
        <v>9</v>
      </c>
      <c r="O15" s="1">
        <f t="shared" si="0"/>
        <v>15</v>
      </c>
      <c r="P15" s="1">
        <f t="shared" si="1"/>
        <v>0</v>
      </c>
      <c r="Q15" s="1">
        <v>15</v>
      </c>
      <c r="R15">
        <v>0</v>
      </c>
      <c r="S15">
        <v>20</v>
      </c>
      <c r="T15">
        <v>60.57</v>
      </c>
      <c r="U15">
        <v>40.573999999999998</v>
      </c>
      <c r="V15">
        <v>66.986957239999995</v>
      </c>
      <c r="W15" s="3">
        <v>17.88</v>
      </c>
      <c r="X15" s="3">
        <v>3.003225</v>
      </c>
      <c r="Y15" s="3">
        <v>62.78</v>
      </c>
      <c r="Z15">
        <v>1.911436763</v>
      </c>
      <c r="AA15">
        <v>9.4807263460000009</v>
      </c>
      <c r="AB15">
        <v>7.8792736540000003</v>
      </c>
      <c r="AC15">
        <v>45.387521049999997</v>
      </c>
      <c r="AD15">
        <v>28.472754380000001</v>
      </c>
      <c r="AE15">
        <v>61.905117490000002</v>
      </c>
      <c r="AF15">
        <v>75.344999999999999</v>
      </c>
      <c r="AG15">
        <v>137.25011749999999</v>
      </c>
      <c r="AH15">
        <v>108.7773631</v>
      </c>
      <c r="AI15">
        <v>79.254841519999999</v>
      </c>
      <c r="AJ15" s="3">
        <v>7.89</v>
      </c>
      <c r="AK15">
        <v>78.900000000000006</v>
      </c>
      <c r="AL15">
        <v>748.0293087</v>
      </c>
      <c r="AM15">
        <v>658.98996030000001</v>
      </c>
      <c r="AN15">
        <v>1230</v>
      </c>
      <c r="AO15">
        <v>1888.9899600000001</v>
      </c>
      <c r="AP15">
        <v>1140.960652</v>
      </c>
      <c r="AQ15">
        <v>60.400567270000003</v>
      </c>
    </row>
    <row r="16" spans="1:43" x14ac:dyDescent="0.35">
      <c r="A16">
        <v>1</v>
      </c>
      <c r="B16">
        <v>230</v>
      </c>
      <c r="C16" t="s">
        <v>35</v>
      </c>
      <c r="D16">
        <v>7</v>
      </c>
      <c r="E16">
        <v>4</v>
      </c>
      <c r="F16">
        <v>490</v>
      </c>
      <c r="G16">
        <v>104.1470709</v>
      </c>
      <c r="H16">
        <v>17.149999999999999</v>
      </c>
      <c r="I16" s="1">
        <v>14.816199999999998</v>
      </c>
      <c r="J16" s="1">
        <v>5.4426944999999982</v>
      </c>
      <c r="K16" s="3">
        <v>30</v>
      </c>
      <c r="L16" t="s">
        <v>40</v>
      </c>
      <c r="M16">
        <v>6</v>
      </c>
      <c r="N16" s="1">
        <v>11.5</v>
      </c>
      <c r="O16" s="1">
        <f t="shared" si="0"/>
        <v>17.5</v>
      </c>
      <c r="P16" s="1">
        <f t="shared" si="1"/>
        <v>-2.5</v>
      </c>
      <c r="Q16" s="1">
        <v>15</v>
      </c>
      <c r="R16">
        <v>-16.666666666666668</v>
      </c>
      <c r="S16">
        <v>40</v>
      </c>
      <c r="T16">
        <v>60.12</v>
      </c>
      <c r="U16">
        <v>20.122499999999999</v>
      </c>
      <c r="V16">
        <v>33.470558879999999</v>
      </c>
      <c r="W16" s="3">
        <v>19.68</v>
      </c>
      <c r="X16" s="3">
        <v>5.7232250000000002</v>
      </c>
      <c r="Y16" s="3">
        <v>62.73</v>
      </c>
      <c r="Z16">
        <v>1.912960306</v>
      </c>
      <c r="AA16">
        <v>9.3735055000000003</v>
      </c>
      <c r="AB16">
        <v>7.7764945000000001</v>
      </c>
      <c r="AC16">
        <v>45.343991260000003</v>
      </c>
      <c r="AD16">
        <v>53.646681010000002</v>
      </c>
      <c r="AE16">
        <v>61.342624749999999</v>
      </c>
      <c r="AF16">
        <v>75.344999999999999</v>
      </c>
      <c r="AG16">
        <v>136.68762480000001</v>
      </c>
      <c r="AH16">
        <v>83.040943740000003</v>
      </c>
      <c r="AI16">
        <v>60.752349670000001</v>
      </c>
      <c r="AJ16" s="3">
        <v>10.96</v>
      </c>
      <c r="AK16">
        <v>109.6</v>
      </c>
      <c r="AL16">
        <v>1027.3362030000001</v>
      </c>
      <c r="AM16">
        <v>653.00213450000001</v>
      </c>
      <c r="AN16">
        <v>1230</v>
      </c>
      <c r="AO16">
        <v>1883.0021340000001</v>
      </c>
      <c r="AP16">
        <v>855.66593169999999</v>
      </c>
      <c r="AQ16">
        <v>45.441580549999998</v>
      </c>
    </row>
    <row r="17" spans="1:43" x14ac:dyDescent="0.35">
      <c r="A17">
        <v>1</v>
      </c>
      <c r="B17">
        <v>231</v>
      </c>
      <c r="C17" t="s">
        <v>34</v>
      </c>
      <c r="D17">
        <v>7.5</v>
      </c>
      <c r="E17">
        <v>3</v>
      </c>
      <c r="F17">
        <v>447</v>
      </c>
      <c r="G17">
        <v>97.214409459999999</v>
      </c>
      <c r="H17">
        <v>15.645</v>
      </c>
      <c r="I17" s="1">
        <v>14.126250000000002</v>
      </c>
      <c r="J17" s="1">
        <v>6.7133146770000023</v>
      </c>
      <c r="K17" s="3">
        <v>90</v>
      </c>
      <c r="L17" t="s">
        <v>40</v>
      </c>
      <c r="M17">
        <v>4</v>
      </c>
      <c r="N17" s="1">
        <v>6.6</v>
      </c>
      <c r="O17" s="1">
        <f t="shared" si="0"/>
        <v>10.6</v>
      </c>
      <c r="P17" s="1">
        <f t="shared" si="1"/>
        <v>4.4000000000000004</v>
      </c>
      <c r="Q17" s="1">
        <v>15</v>
      </c>
      <c r="R17">
        <v>29.333333333333336</v>
      </c>
      <c r="S17">
        <v>20</v>
      </c>
      <c r="T17">
        <v>56.89</v>
      </c>
      <c r="U17">
        <v>36.886749999999999</v>
      </c>
      <c r="V17">
        <v>64.838723849999994</v>
      </c>
      <c r="W17" s="3">
        <v>20.05</v>
      </c>
      <c r="X17" s="3">
        <v>4.4504624399999999</v>
      </c>
      <c r="Y17" s="3">
        <v>72.36</v>
      </c>
      <c r="Z17">
        <v>1.6583747929999999</v>
      </c>
      <c r="AA17">
        <v>7.4129353230000001</v>
      </c>
      <c r="AB17">
        <v>8.2320646770000003</v>
      </c>
      <c r="AC17">
        <v>52.617863069999999</v>
      </c>
      <c r="AD17">
        <v>32.990990230000001</v>
      </c>
      <c r="AE17">
        <v>57.25928717</v>
      </c>
      <c r="AF17">
        <v>75.344999999999999</v>
      </c>
      <c r="AG17">
        <v>132.60428719999999</v>
      </c>
      <c r="AH17">
        <v>99.613296950000006</v>
      </c>
      <c r="AI17">
        <v>75.120721259999996</v>
      </c>
      <c r="AJ17" s="3">
        <v>9.44</v>
      </c>
      <c r="AK17">
        <v>94.4</v>
      </c>
      <c r="AL17">
        <v>699.78109449999999</v>
      </c>
      <c r="AM17">
        <v>609.53434730000004</v>
      </c>
      <c r="AN17">
        <v>1230</v>
      </c>
      <c r="AO17">
        <v>1839.534347</v>
      </c>
      <c r="AP17">
        <v>1139.7532530000001</v>
      </c>
      <c r="AQ17">
        <v>61.958791609999999</v>
      </c>
    </row>
    <row r="18" spans="1:43" x14ac:dyDescent="0.35">
      <c r="A18">
        <v>1</v>
      </c>
      <c r="B18">
        <v>232</v>
      </c>
      <c r="C18" t="s">
        <v>35</v>
      </c>
      <c r="D18">
        <v>8</v>
      </c>
      <c r="E18">
        <v>5</v>
      </c>
      <c r="F18">
        <v>466</v>
      </c>
      <c r="G18">
        <v>100.2973452</v>
      </c>
      <c r="H18">
        <v>16.309999999999999</v>
      </c>
      <c r="I18" s="1">
        <v>18.1844</v>
      </c>
      <c r="J18" s="1">
        <v>5.9561034799999995</v>
      </c>
      <c r="K18" s="3">
        <v>120</v>
      </c>
      <c r="L18" t="s">
        <v>41</v>
      </c>
      <c r="M18">
        <v>2</v>
      </c>
      <c r="N18" s="1">
        <v>9.9</v>
      </c>
      <c r="O18" s="1">
        <f t="shared" si="0"/>
        <v>11.9</v>
      </c>
      <c r="P18" s="1">
        <f t="shared" si="1"/>
        <v>3.0999999999999996</v>
      </c>
      <c r="Q18" s="1">
        <v>15</v>
      </c>
      <c r="R18">
        <v>20.666666666666664</v>
      </c>
      <c r="S18">
        <v>60</v>
      </c>
      <c r="T18">
        <v>58.32</v>
      </c>
      <c r="U18">
        <v>-1.6835</v>
      </c>
      <c r="V18">
        <v>-2.8866598080000001</v>
      </c>
      <c r="W18" s="3">
        <v>21.52</v>
      </c>
      <c r="X18" s="3">
        <v>5.7232250000000002</v>
      </c>
      <c r="Y18" s="3">
        <v>45.73</v>
      </c>
      <c r="Z18">
        <v>2.6240979659999999</v>
      </c>
      <c r="AA18">
        <v>12.228296520000001</v>
      </c>
      <c r="AB18">
        <v>4.0817034769999996</v>
      </c>
      <c r="AC18">
        <v>25.02577239</v>
      </c>
      <c r="AD18">
        <v>69.985292369999996</v>
      </c>
      <c r="AE18">
        <v>59.075136299999997</v>
      </c>
      <c r="AF18">
        <v>75.344999999999999</v>
      </c>
      <c r="AG18">
        <v>134.4201363</v>
      </c>
      <c r="AH18">
        <v>64.43484393</v>
      </c>
      <c r="AI18">
        <v>47.935410349999998</v>
      </c>
      <c r="AJ18" s="3">
        <v>9.92</v>
      </c>
      <c r="AK18">
        <v>99.2</v>
      </c>
      <c r="AL18">
        <v>1213.0470150000001</v>
      </c>
      <c r="AM18">
        <v>628.86435410000001</v>
      </c>
      <c r="AN18">
        <v>1230</v>
      </c>
      <c r="AO18">
        <v>1858.864354</v>
      </c>
      <c r="AP18">
        <v>645.81733899999995</v>
      </c>
      <c r="AQ18">
        <v>34.742574820000002</v>
      </c>
    </row>
    <row r="19" spans="1:43" x14ac:dyDescent="0.35">
      <c r="A19">
        <v>1</v>
      </c>
      <c r="B19">
        <v>233</v>
      </c>
      <c r="C19" t="s">
        <v>35</v>
      </c>
      <c r="D19">
        <v>7</v>
      </c>
      <c r="E19">
        <v>4</v>
      </c>
      <c r="F19">
        <v>608</v>
      </c>
      <c r="G19">
        <v>122.44123020000001</v>
      </c>
      <c r="H19">
        <v>21.28</v>
      </c>
      <c r="I19" s="1">
        <v>26.8353</v>
      </c>
      <c r="J19" s="1">
        <v>14.785754170000001</v>
      </c>
      <c r="K19" s="3">
        <v>90</v>
      </c>
      <c r="L19" t="s">
        <v>40</v>
      </c>
      <c r="M19">
        <v>4</v>
      </c>
      <c r="N19" s="1">
        <v>5.0999999999999996</v>
      </c>
      <c r="O19" s="1">
        <f t="shared" si="0"/>
        <v>9.1</v>
      </c>
      <c r="P19" s="1">
        <f t="shared" si="1"/>
        <v>5.9</v>
      </c>
      <c r="Q19" s="1">
        <v>15</v>
      </c>
      <c r="R19">
        <v>39.333333333333336</v>
      </c>
      <c r="S19">
        <v>20</v>
      </c>
      <c r="T19">
        <v>69</v>
      </c>
      <c r="U19">
        <v>49.002000000000002</v>
      </c>
      <c r="V19">
        <v>71.0173913</v>
      </c>
      <c r="W19" s="3">
        <v>33.130000000000003</v>
      </c>
      <c r="Y19" s="3">
        <v>60.55</v>
      </c>
      <c r="Z19">
        <v>1.981833196</v>
      </c>
      <c r="AA19">
        <v>12.04954583</v>
      </c>
      <c r="AB19">
        <v>9.2304541699999998</v>
      </c>
      <c r="AC19">
        <v>43.376194409999997</v>
      </c>
      <c r="AJ19" s="3">
        <v>8.8699999999999992</v>
      </c>
      <c r="AK19">
        <v>88.7</v>
      </c>
      <c r="AL19">
        <v>1068.794715</v>
      </c>
      <c r="AM19">
        <v>767.70651339999995</v>
      </c>
      <c r="AN19">
        <v>1230</v>
      </c>
      <c r="AO19">
        <v>1997.7065130000001</v>
      </c>
      <c r="AP19">
        <v>928.91179829999999</v>
      </c>
      <c r="AQ19">
        <v>46.498912230000002</v>
      </c>
    </row>
    <row r="20" spans="1:43" x14ac:dyDescent="0.35">
      <c r="A20">
        <v>1</v>
      </c>
      <c r="B20">
        <v>234</v>
      </c>
      <c r="C20" t="s">
        <v>35</v>
      </c>
      <c r="D20">
        <v>7</v>
      </c>
      <c r="E20">
        <v>4</v>
      </c>
      <c r="F20">
        <v>400</v>
      </c>
      <c r="G20">
        <v>89.442719100000005</v>
      </c>
      <c r="H20">
        <v>14</v>
      </c>
      <c r="I20" s="1">
        <v>27.512759999999901</v>
      </c>
      <c r="J20" s="1">
        <v>20.359257764999899</v>
      </c>
      <c r="K20" s="3">
        <v>60</v>
      </c>
      <c r="L20" t="s">
        <v>40</v>
      </c>
      <c r="M20">
        <v>6</v>
      </c>
      <c r="N20" s="1">
        <v>5.5</v>
      </c>
      <c r="O20" s="1">
        <f t="shared" si="0"/>
        <v>11.5</v>
      </c>
      <c r="P20" s="1">
        <f t="shared" si="1"/>
        <v>3.5</v>
      </c>
      <c r="Q20" s="1">
        <v>15</v>
      </c>
      <c r="R20">
        <v>23.333333333333332</v>
      </c>
      <c r="S20">
        <v>40</v>
      </c>
      <c r="T20">
        <v>53.35</v>
      </c>
      <c r="U20">
        <v>13.35</v>
      </c>
      <c r="V20">
        <v>25.023430179999998</v>
      </c>
      <c r="W20" s="3">
        <v>32.909999999999997</v>
      </c>
      <c r="X20" s="3">
        <v>3.3836982099999999</v>
      </c>
      <c r="Y20" s="3">
        <v>67.099999999999994</v>
      </c>
      <c r="Z20">
        <v>1.7883755589999999</v>
      </c>
      <c r="AA20">
        <v>7.1535022350000004</v>
      </c>
      <c r="AB20">
        <v>6.8464977649999996</v>
      </c>
      <c r="AC20">
        <v>48.90355546</v>
      </c>
      <c r="AD20">
        <v>24.205292709999998</v>
      </c>
      <c r="AE20">
        <v>52.681761549999997</v>
      </c>
      <c r="AF20">
        <v>75.344999999999999</v>
      </c>
      <c r="AG20">
        <v>128.02676149999999</v>
      </c>
      <c r="AH20">
        <v>103.82146880000001</v>
      </c>
      <c r="AI20">
        <v>81.093567930000006</v>
      </c>
      <c r="AJ20" s="3">
        <v>11.57</v>
      </c>
      <c r="AK20">
        <v>115.7</v>
      </c>
      <c r="AL20">
        <v>827.66020860000003</v>
      </c>
      <c r="AM20">
        <v>560.80584880000004</v>
      </c>
      <c r="AN20">
        <v>1230</v>
      </c>
      <c r="AO20">
        <v>1790.8058490000001</v>
      </c>
      <c r="AP20">
        <v>963.14564010000004</v>
      </c>
      <c r="AQ20">
        <v>53.782806260000001</v>
      </c>
    </row>
    <row r="21" spans="1:43" x14ac:dyDescent="0.35">
      <c r="A21">
        <v>1</v>
      </c>
      <c r="B21">
        <v>235</v>
      </c>
      <c r="C21" t="s">
        <v>35</v>
      </c>
      <c r="D21">
        <v>7</v>
      </c>
      <c r="E21">
        <v>4</v>
      </c>
      <c r="F21">
        <v>414</v>
      </c>
      <c r="G21">
        <v>91.780465449999994</v>
      </c>
      <c r="H21">
        <v>14.49</v>
      </c>
      <c r="I21" s="1">
        <v>19.3155</v>
      </c>
      <c r="J21" s="1">
        <v>10.445655329000001</v>
      </c>
      <c r="K21" s="3">
        <v>150</v>
      </c>
      <c r="L21" t="s">
        <v>41</v>
      </c>
      <c r="M21">
        <v>1</v>
      </c>
      <c r="N21" s="1">
        <v>5</v>
      </c>
      <c r="O21" s="1">
        <f t="shared" si="0"/>
        <v>6</v>
      </c>
      <c r="P21" s="1">
        <f t="shared" si="1"/>
        <v>9</v>
      </c>
      <c r="Q21" s="1">
        <v>15</v>
      </c>
      <c r="R21">
        <v>60</v>
      </c>
      <c r="S21">
        <v>60</v>
      </c>
      <c r="T21">
        <v>54.4</v>
      </c>
      <c r="U21">
        <v>-5.5964999999999998</v>
      </c>
      <c r="V21">
        <v>-10.28768382</v>
      </c>
      <c r="W21" s="3">
        <v>24.45</v>
      </c>
      <c r="X21" s="3">
        <v>7.1051651600000003</v>
      </c>
      <c r="Y21" s="3">
        <v>56.01</v>
      </c>
      <c r="Z21">
        <v>2.142474558</v>
      </c>
      <c r="AA21">
        <v>8.8698446709999992</v>
      </c>
      <c r="AB21">
        <v>5.6201553290000001</v>
      </c>
      <c r="AC21">
        <v>38.786441199999999</v>
      </c>
      <c r="AD21">
        <v>63.021711330000002</v>
      </c>
      <c r="AE21">
        <v>54.058694150000001</v>
      </c>
      <c r="AF21">
        <v>75.344999999999999</v>
      </c>
      <c r="AG21">
        <v>129.40369419999999</v>
      </c>
      <c r="AH21">
        <v>66.381982820000005</v>
      </c>
      <c r="AI21">
        <v>51.298367689999999</v>
      </c>
      <c r="AJ21" s="3">
        <v>14.02</v>
      </c>
      <c r="AK21">
        <v>140.19999999999999</v>
      </c>
      <c r="AL21">
        <v>1243.5522229999999</v>
      </c>
      <c r="AM21">
        <v>575.4635184</v>
      </c>
      <c r="AN21">
        <v>1230</v>
      </c>
      <c r="AO21">
        <v>1805.463518</v>
      </c>
      <c r="AP21">
        <v>561.91129560000002</v>
      </c>
      <c r="AQ21">
        <v>31.122827449999999</v>
      </c>
    </row>
    <row r="22" spans="1:43" x14ac:dyDescent="0.35">
      <c r="A22">
        <v>1</v>
      </c>
      <c r="B22">
        <v>236</v>
      </c>
      <c r="C22" t="s">
        <v>35</v>
      </c>
      <c r="D22">
        <v>3</v>
      </c>
      <c r="E22">
        <v>1</v>
      </c>
      <c r="F22">
        <v>420</v>
      </c>
      <c r="G22">
        <v>92.776282760000001</v>
      </c>
      <c r="H22">
        <v>14.7</v>
      </c>
      <c r="I22" s="1">
        <v>21.705749999999998</v>
      </c>
      <c r="J22" s="1">
        <v>14.008743279999997</v>
      </c>
      <c r="K22" s="3">
        <v>240</v>
      </c>
      <c r="L22" t="s">
        <v>42</v>
      </c>
      <c r="M22">
        <v>0</v>
      </c>
      <c r="N22" s="1">
        <v>4.5</v>
      </c>
      <c r="O22" s="1">
        <f t="shared" si="0"/>
        <v>4.5</v>
      </c>
      <c r="P22" s="1">
        <f t="shared" si="1"/>
        <v>10.5</v>
      </c>
      <c r="Q22" s="1">
        <v>15</v>
      </c>
      <c r="R22">
        <v>70</v>
      </c>
      <c r="S22">
        <v>20</v>
      </c>
      <c r="T22">
        <v>54.85</v>
      </c>
      <c r="U22">
        <v>34.854999999999997</v>
      </c>
      <c r="V22">
        <v>63.546034640000002</v>
      </c>
      <c r="W22" s="3">
        <v>26.31</v>
      </c>
      <c r="X22" s="3">
        <v>5.2537652499999998</v>
      </c>
      <c r="Y22" s="3">
        <v>65.48</v>
      </c>
      <c r="Z22">
        <v>1.832620648</v>
      </c>
      <c r="AA22">
        <v>7.6970067200000001</v>
      </c>
      <c r="AB22">
        <v>7.0029932800000001</v>
      </c>
      <c r="AC22">
        <v>47.639410069999997</v>
      </c>
      <c r="AD22">
        <v>40.438266429999999</v>
      </c>
      <c r="AE22">
        <v>54.645230550000001</v>
      </c>
      <c r="AF22">
        <v>75.344999999999999</v>
      </c>
      <c r="AG22">
        <v>129.9902305</v>
      </c>
      <c r="AH22">
        <v>89.551964119999994</v>
      </c>
      <c r="AI22">
        <v>68.891303399999998</v>
      </c>
      <c r="AJ22" s="3">
        <v>7.65</v>
      </c>
      <c r="AK22">
        <v>76.5</v>
      </c>
      <c r="AL22">
        <v>588.82101409999996</v>
      </c>
      <c r="AM22">
        <v>581.70729289999997</v>
      </c>
      <c r="AN22">
        <v>1230</v>
      </c>
      <c r="AO22">
        <v>1811.7072929999999</v>
      </c>
      <c r="AP22">
        <v>1222.8862790000001</v>
      </c>
      <c r="AQ22">
        <v>67.499108919999998</v>
      </c>
    </row>
    <row r="23" spans="1:43" x14ac:dyDescent="0.35">
      <c r="A23">
        <v>1</v>
      </c>
      <c r="B23">
        <v>237</v>
      </c>
      <c r="C23" t="s">
        <v>34</v>
      </c>
      <c r="D23">
        <v>8</v>
      </c>
      <c r="E23">
        <v>3</v>
      </c>
      <c r="F23">
        <v>446</v>
      </c>
      <c r="G23">
        <v>97.051252379999994</v>
      </c>
      <c r="H23">
        <v>15.61</v>
      </c>
      <c r="I23" s="1">
        <v>24.459119999999999</v>
      </c>
      <c r="J23" s="1">
        <v>15.665166663999999</v>
      </c>
      <c r="K23" s="3">
        <v>120</v>
      </c>
      <c r="L23" t="s">
        <v>41</v>
      </c>
      <c r="M23">
        <v>2</v>
      </c>
      <c r="N23" s="1">
        <v>6.5</v>
      </c>
      <c r="O23" s="1">
        <f t="shared" si="0"/>
        <v>8.5</v>
      </c>
      <c r="P23" s="1">
        <f t="shared" si="1"/>
        <v>6.5</v>
      </c>
      <c r="Q23" s="1">
        <v>15</v>
      </c>
      <c r="R23">
        <v>43.333333333333336</v>
      </c>
      <c r="S23">
        <v>60</v>
      </c>
      <c r="T23">
        <v>56.81</v>
      </c>
      <c r="U23">
        <v>-3.1884999999999999</v>
      </c>
      <c r="V23">
        <v>-5.6125682100000001</v>
      </c>
      <c r="W23" s="3">
        <v>28.98</v>
      </c>
      <c r="X23" s="3">
        <v>5.7027772499999996</v>
      </c>
      <c r="Y23" s="3">
        <v>60.86</v>
      </c>
      <c r="Z23">
        <v>1.971738416</v>
      </c>
      <c r="AA23">
        <v>8.7939533359999995</v>
      </c>
      <c r="AB23">
        <v>6.8160466639999999</v>
      </c>
      <c r="AC23">
        <v>43.664616680000002</v>
      </c>
      <c r="AD23">
        <v>50.149957020000002</v>
      </c>
      <c r="AE23">
        <v>57.163187649999998</v>
      </c>
      <c r="AF23">
        <v>75.344999999999999</v>
      </c>
      <c r="AG23">
        <v>132.50818770000001</v>
      </c>
      <c r="AH23">
        <v>82.358230629999994</v>
      </c>
      <c r="AI23">
        <v>62.153314520000002</v>
      </c>
      <c r="AJ23" s="3">
        <v>8.0500000000000007</v>
      </c>
      <c r="AK23">
        <v>80.5</v>
      </c>
      <c r="AL23">
        <v>707.91324350000002</v>
      </c>
      <c r="AM23">
        <v>608.51135239999996</v>
      </c>
      <c r="AN23">
        <v>1230</v>
      </c>
      <c r="AO23">
        <v>1838.511352</v>
      </c>
      <c r="AP23">
        <v>1130.598109</v>
      </c>
      <c r="AQ23">
        <v>61.495302019999997</v>
      </c>
    </row>
    <row r="24" spans="1:43" x14ac:dyDescent="0.35">
      <c r="A24">
        <v>1</v>
      </c>
      <c r="B24">
        <v>238</v>
      </c>
      <c r="C24" t="s">
        <v>34</v>
      </c>
      <c r="D24">
        <v>6</v>
      </c>
      <c r="E24">
        <v>2</v>
      </c>
      <c r="F24">
        <v>438</v>
      </c>
      <c r="G24">
        <v>95.742680640000003</v>
      </c>
      <c r="H24">
        <v>15.33</v>
      </c>
      <c r="I24" s="1">
        <v>15.959899999999999</v>
      </c>
      <c r="J24" s="1">
        <v>8.2293513899999997</v>
      </c>
      <c r="K24" s="3">
        <v>540</v>
      </c>
      <c r="L24" t="s">
        <v>42</v>
      </c>
      <c r="M24">
        <v>0</v>
      </c>
      <c r="N24" s="1">
        <v>6</v>
      </c>
      <c r="O24" s="1">
        <f t="shared" si="0"/>
        <v>6</v>
      </c>
      <c r="P24" s="1">
        <f t="shared" si="1"/>
        <v>9</v>
      </c>
      <c r="Q24" s="1">
        <v>15</v>
      </c>
      <c r="R24">
        <v>60</v>
      </c>
      <c r="S24">
        <v>40</v>
      </c>
      <c r="T24">
        <v>56.21</v>
      </c>
      <c r="U24">
        <v>16.209499999999998</v>
      </c>
      <c r="V24">
        <v>28.837395480000001</v>
      </c>
      <c r="W24" s="3">
        <v>23.14</v>
      </c>
      <c r="Y24" s="3">
        <v>67.989999999999995</v>
      </c>
      <c r="Z24">
        <v>1.764965436</v>
      </c>
      <c r="AA24">
        <v>7.7305486099999996</v>
      </c>
      <c r="AB24">
        <v>7.5994513899999996</v>
      </c>
      <c r="AC24">
        <v>49.572416109999999</v>
      </c>
      <c r="AJ24" s="3">
        <v>8.32</v>
      </c>
      <c r="AK24">
        <v>83.2</v>
      </c>
      <c r="AL24">
        <v>643.18164439999998</v>
      </c>
      <c r="AM24">
        <v>600.30660760000001</v>
      </c>
      <c r="AN24">
        <v>1230</v>
      </c>
      <c r="AO24">
        <v>1830.3066080000001</v>
      </c>
      <c r="AP24">
        <v>1187.124963</v>
      </c>
      <c r="AQ24">
        <v>64.859349699999996</v>
      </c>
    </row>
    <row r="25" spans="1:43" x14ac:dyDescent="0.35">
      <c r="A25">
        <v>1</v>
      </c>
      <c r="B25">
        <v>239</v>
      </c>
      <c r="C25" t="s">
        <v>34</v>
      </c>
      <c r="D25">
        <v>7</v>
      </c>
      <c r="E25">
        <v>4</v>
      </c>
      <c r="F25">
        <v>426</v>
      </c>
      <c r="G25">
        <v>93.768549789999994</v>
      </c>
      <c r="H25">
        <v>14.91</v>
      </c>
      <c r="I25" s="1">
        <v>18.7381999999999</v>
      </c>
      <c r="J25" s="1">
        <v>11.222763363999899</v>
      </c>
      <c r="K25" s="3">
        <v>90</v>
      </c>
      <c r="L25" t="s">
        <v>40</v>
      </c>
      <c r="M25">
        <v>4</v>
      </c>
      <c r="N25" s="1">
        <v>3.5</v>
      </c>
      <c r="O25" s="1">
        <f t="shared" si="0"/>
        <v>7.5</v>
      </c>
      <c r="P25" s="1">
        <f t="shared" si="1"/>
        <v>7.5</v>
      </c>
      <c r="Q25" s="1">
        <v>15</v>
      </c>
      <c r="R25">
        <v>50</v>
      </c>
      <c r="S25">
        <v>20</v>
      </c>
      <c r="T25">
        <v>55.31</v>
      </c>
      <c r="U25">
        <v>35.3065</v>
      </c>
      <c r="V25">
        <v>63.833845599999997</v>
      </c>
      <c r="W25" s="3">
        <v>26.72</v>
      </c>
      <c r="X25" s="3">
        <v>7.4874598399999996</v>
      </c>
      <c r="Y25" s="3">
        <v>68.02</v>
      </c>
      <c r="Z25">
        <v>1.7641870040000001</v>
      </c>
      <c r="AA25">
        <v>7.5154366359999996</v>
      </c>
      <c r="AB25">
        <v>7.3945633639999997</v>
      </c>
      <c r="AC25">
        <v>49.59465703</v>
      </c>
      <c r="AD25">
        <v>56.271529989999998</v>
      </c>
      <c r="AE25">
        <v>55.229675829999998</v>
      </c>
      <c r="AF25">
        <v>75.344999999999999</v>
      </c>
      <c r="AG25">
        <v>130.57467579999999</v>
      </c>
      <c r="AH25">
        <v>74.303145830000005</v>
      </c>
      <c r="AI25">
        <v>56.904713999999998</v>
      </c>
      <c r="AJ25" s="3">
        <v>16.64</v>
      </c>
      <c r="AK25">
        <v>166.4</v>
      </c>
      <c r="AL25">
        <v>1250.5686559999999</v>
      </c>
      <c r="AM25">
        <v>587.92880720000005</v>
      </c>
      <c r="AN25">
        <v>1230</v>
      </c>
      <c r="AO25">
        <v>1817.928807</v>
      </c>
      <c r="AP25">
        <v>567.36015090000001</v>
      </c>
      <c r="AQ25">
        <v>31.209151240000001</v>
      </c>
    </row>
    <row r="26" spans="1:43" x14ac:dyDescent="0.35">
      <c r="A26">
        <v>1</v>
      </c>
      <c r="B26">
        <v>240</v>
      </c>
      <c r="C26" t="s">
        <v>35</v>
      </c>
      <c r="D26">
        <v>7.5</v>
      </c>
      <c r="E26">
        <v>4</v>
      </c>
      <c r="F26">
        <v>568</v>
      </c>
      <c r="G26">
        <v>116.34862409999999</v>
      </c>
      <c r="H26">
        <v>19.88</v>
      </c>
      <c r="I26" s="1">
        <v>16.522299999999998</v>
      </c>
      <c r="J26" s="1">
        <v>6.4095403599999976</v>
      </c>
      <c r="K26" s="3">
        <v>15</v>
      </c>
      <c r="L26" t="s">
        <v>40</v>
      </c>
      <c r="M26">
        <v>6</v>
      </c>
      <c r="N26" s="1">
        <v>9</v>
      </c>
      <c r="O26" s="1">
        <f t="shared" si="0"/>
        <v>15</v>
      </c>
      <c r="P26" s="1">
        <f t="shared" si="1"/>
        <v>0</v>
      </c>
      <c r="Q26" s="1">
        <v>15</v>
      </c>
      <c r="R26">
        <v>0</v>
      </c>
      <c r="S26">
        <v>40</v>
      </c>
      <c r="T26">
        <v>65.989999999999995</v>
      </c>
      <c r="U26">
        <v>25.992000000000001</v>
      </c>
      <c r="V26">
        <v>39.387786030000001</v>
      </c>
      <c r="W26" s="3">
        <v>22.31</v>
      </c>
      <c r="X26" s="3">
        <v>7.6863011600000002</v>
      </c>
      <c r="Y26" s="3">
        <v>67.400000000000006</v>
      </c>
      <c r="Z26">
        <v>1.7804154299999999</v>
      </c>
      <c r="AA26">
        <v>10.11275964</v>
      </c>
      <c r="AB26">
        <v>9.7672403560000003</v>
      </c>
      <c r="AC26">
        <v>49.130987709999999</v>
      </c>
      <c r="AD26">
        <v>77.729716179999997</v>
      </c>
      <c r="AE26">
        <v>68.529339590000006</v>
      </c>
      <c r="AF26">
        <v>75.344999999999999</v>
      </c>
      <c r="AG26">
        <v>143.87433960000001</v>
      </c>
      <c r="AH26">
        <v>66.144623409999994</v>
      </c>
      <c r="AI26">
        <v>45.973884990000002</v>
      </c>
      <c r="AJ26" s="3">
        <v>10.02</v>
      </c>
      <c r="AK26">
        <v>100.2</v>
      </c>
      <c r="AL26">
        <v>1013.2985159999999</v>
      </c>
      <c r="AM26">
        <v>729.50587299999995</v>
      </c>
      <c r="AN26">
        <v>1230</v>
      </c>
      <c r="AO26">
        <v>1959.5058730000001</v>
      </c>
      <c r="AP26">
        <v>946.20735669999999</v>
      </c>
      <c r="AQ26">
        <v>48.288059240000003</v>
      </c>
    </row>
    <row r="27" spans="1:43" x14ac:dyDescent="0.35">
      <c r="A27">
        <v>1</v>
      </c>
      <c r="B27">
        <v>241</v>
      </c>
      <c r="C27" t="s">
        <v>35</v>
      </c>
      <c r="D27">
        <v>9</v>
      </c>
      <c r="E27">
        <v>4</v>
      </c>
      <c r="F27">
        <v>408</v>
      </c>
      <c r="G27">
        <v>90.78103342</v>
      </c>
      <c r="H27">
        <v>14.28</v>
      </c>
      <c r="I27" s="1">
        <v>25.924600000000002</v>
      </c>
      <c r="J27" s="1">
        <v>17.968798895000003</v>
      </c>
      <c r="K27" s="3">
        <v>30</v>
      </c>
      <c r="L27" t="s">
        <v>40</v>
      </c>
      <c r="M27">
        <v>6</v>
      </c>
      <c r="N27" s="1">
        <v>8.5</v>
      </c>
      <c r="O27" s="1">
        <f t="shared" si="0"/>
        <v>14.5</v>
      </c>
      <c r="P27" s="1">
        <f t="shared" si="1"/>
        <v>0.5</v>
      </c>
      <c r="Q27" s="1">
        <v>15</v>
      </c>
      <c r="R27">
        <v>3.3333333333333335</v>
      </c>
      <c r="S27">
        <v>20</v>
      </c>
      <c r="T27">
        <v>53.95</v>
      </c>
      <c r="U27">
        <v>33.951999999999998</v>
      </c>
      <c r="V27">
        <v>62.932344759999999</v>
      </c>
      <c r="W27" s="3">
        <v>33.28</v>
      </c>
      <c r="X27" s="3">
        <v>6.3435366399999999</v>
      </c>
      <c r="Y27" s="3">
        <v>61.54</v>
      </c>
      <c r="Z27">
        <v>1.9499512510000001</v>
      </c>
      <c r="AA27">
        <v>7.9558011049999999</v>
      </c>
      <c r="AB27">
        <v>6.3241988950000003</v>
      </c>
      <c r="AC27">
        <v>44.287107110000001</v>
      </c>
      <c r="AD27">
        <v>50.467915810000001</v>
      </c>
      <c r="AE27">
        <v>53.470028689999999</v>
      </c>
      <c r="AF27">
        <v>75.344999999999999</v>
      </c>
      <c r="AG27">
        <v>128.8150287</v>
      </c>
      <c r="AH27">
        <v>78.347112879999997</v>
      </c>
      <c r="AI27">
        <v>60.821407000000001</v>
      </c>
      <c r="AJ27" s="3">
        <v>8.9600000000000009</v>
      </c>
      <c r="AK27">
        <v>89.6</v>
      </c>
      <c r="AL27">
        <v>712.83977900000002</v>
      </c>
      <c r="AM27">
        <v>569.19707960000005</v>
      </c>
      <c r="AN27">
        <v>1230</v>
      </c>
      <c r="AO27">
        <v>1799.1970799999999</v>
      </c>
      <c r="AP27">
        <v>1086.357301</v>
      </c>
      <c r="AQ27">
        <v>60.380116940000001</v>
      </c>
    </row>
    <row r="28" spans="1:43" x14ac:dyDescent="0.35">
      <c r="A28">
        <v>1</v>
      </c>
      <c r="B28">
        <v>242</v>
      </c>
      <c r="C28" t="s">
        <v>34</v>
      </c>
      <c r="D28">
        <v>8</v>
      </c>
      <c r="E28">
        <v>4</v>
      </c>
      <c r="F28">
        <v>384</v>
      </c>
      <c r="G28">
        <v>86.745792350000002</v>
      </c>
      <c r="H28">
        <v>13.44</v>
      </c>
      <c r="I28" s="1">
        <v>15.069000000000001</v>
      </c>
      <c r="J28" s="1">
        <v>7.2680858300000004</v>
      </c>
      <c r="K28" s="3">
        <v>360</v>
      </c>
      <c r="L28" t="s">
        <v>42</v>
      </c>
      <c r="M28">
        <v>0</v>
      </c>
      <c r="N28" s="1">
        <v>3</v>
      </c>
      <c r="O28" s="1">
        <f t="shared" si="0"/>
        <v>3</v>
      </c>
      <c r="P28" s="1">
        <f t="shared" si="1"/>
        <v>12</v>
      </c>
      <c r="Q28" s="1">
        <v>15</v>
      </c>
      <c r="R28">
        <v>80</v>
      </c>
      <c r="S28">
        <v>40</v>
      </c>
      <c r="T28">
        <v>52.15</v>
      </c>
      <c r="U28">
        <v>12.146000000000001</v>
      </c>
      <c r="V28">
        <v>23.290508150000001</v>
      </c>
      <c r="W28" s="3">
        <v>24.3</v>
      </c>
      <c r="X28" s="3">
        <v>6.8486840000000004</v>
      </c>
      <c r="Y28" s="3">
        <v>59.07</v>
      </c>
      <c r="Z28">
        <v>2.031488065</v>
      </c>
      <c r="AA28">
        <v>7.8009141700000004</v>
      </c>
      <c r="AB28">
        <v>5.63908583</v>
      </c>
      <c r="AC28">
        <v>41.957483860000004</v>
      </c>
      <c r="AD28">
        <v>53.425996060000003</v>
      </c>
      <c r="AE28">
        <v>51.093271690000002</v>
      </c>
      <c r="AF28">
        <v>75.344999999999999</v>
      </c>
      <c r="AG28">
        <v>126.4382717</v>
      </c>
      <c r="AH28">
        <v>73.012275630000005</v>
      </c>
      <c r="AI28">
        <v>57.745392010000003</v>
      </c>
      <c r="AJ28" s="3">
        <v>8.6</v>
      </c>
      <c r="AK28">
        <v>86</v>
      </c>
      <c r="AL28">
        <v>670.87861859999998</v>
      </c>
      <c r="AM28">
        <v>543.896118</v>
      </c>
      <c r="AN28">
        <v>1230</v>
      </c>
      <c r="AO28">
        <v>1773.8961179999999</v>
      </c>
      <c r="AP28">
        <v>1103.017499</v>
      </c>
      <c r="AQ28">
        <v>62.180501339999999</v>
      </c>
    </row>
    <row r="29" spans="1:43" x14ac:dyDescent="0.35">
      <c r="A29">
        <v>1</v>
      </c>
      <c r="B29">
        <v>243</v>
      </c>
      <c r="C29" t="s">
        <v>34</v>
      </c>
      <c r="D29">
        <v>8</v>
      </c>
      <c r="E29">
        <v>4</v>
      </c>
      <c r="F29">
        <v>504</v>
      </c>
      <c r="G29">
        <v>106.3709168</v>
      </c>
      <c r="H29">
        <v>17.64</v>
      </c>
      <c r="I29" s="1">
        <v>17.195999999999998</v>
      </c>
      <c r="J29" s="1">
        <v>8.0489945549999984</v>
      </c>
      <c r="K29" s="3">
        <v>75</v>
      </c>
      <c r="L29" t="s">
        <v>40</v>
      </c>
      <c r="M29">
        <v>4</v>
      </c>
      <c r="N29" s="1">
        <v>5.5</v>
      </c>
      <c r="O29" s="1">
        <f t="shared" si="0"/>
        <v>9.5</v>
      </c>
      <c r="P29" s="1">
        <f t="shared" si="1"/>
        <v>5.5</v>
      </c>
      <c r="Q29" s="1">
        <v>15</v>
      </c>
      <c r="R29">
        <v>36.666666666666664</v>
      </c>
      <c r="S29">
        <v>40</v>
      </c>
      <c r="T29">
        <v>61.18</v>
      </c>
      <c r="U29">
        <v>21.175999999999998</v>
      </c>
      <c r="V29">
        <v>34.612618500000004</v>
      </c>
      <c r="W29" s="3">
        <v>25.95</v>
      </c>
      <c r="X29" s="3">
        <v>5.1370457600000003</v>
      </c>
      <c r="Y29" s="3">
        <v>66.12</v>
      </c>
      <c r="Z29">
        <v>1.814882033</v>
      </c>
      <c r="AA29">
        <v>9.1470054449999996</v>
      </c>
      <c r="AB29">
        <v>8.4929945549999992</v>
      </c>
      <c r="AC29">
        <v>48.146227639999999</v>
      </c>
      <c r="AD29">
        <v>46.988585540000003</v>
      </c>
      <c r="AE29">
        <v>62.65246999</v>
      </c>
      <c r="AF29">
        <v>75.344999999999999</v>
      </c>
      <c r="AG29">
        <v>137.99746999999999</v>
      </c>
      <c r="AH29">
        <v>91.008884449999996</v>
      </c>
      <c r="AI29">
        <v>65.949676080000003</v>
      </c>
      <c r="AJ29" s="3">
        <v>9.1199999999999992</v>
      </c>
      <c r="AK29">
        <v>91.2</v>
      </c>
      <c r="AL29">
        <v>834.20689660000005</v>
      </c>
      <c r="AM29">
        <v>666.94564820000005</v>
      </c>
      <c r="AN29">
        <v>1230</v>
      </c>
      <c r="AO29">
        <v>1896.9456479999999</v>
      </c>
      <c r="AP29">
        <v>1062.738752</v>
      </c>
      <c r="AQ29">
        <v>56.02367958</v>
      </c>
    </row>
    <row r="30" spans="1:43" x14ac:dyDescent="0.35">
      <c r="A30">
        <v>1</v>
      </c>
      <c r="B30">
        <v>244</v>
      </c>
      <c r="C30" t="s">
        <v>34</v>
      </c>
      <c r="D30">
        <v>9</v>
      </c>
      <c r="E30">
        <v>4</v>
      </c>
      <c r="F30">
        <v>436</v>
      </c>
      <c r="G30">
        <v>95.414607250000003</v>
      </c>
      <c r="H30">
        <v>15.26</v>
      </c>
      <c r="I30" s="1">
        <v>20.707999999999998</v>
      </c>
      <c r="J30" s="1">
        <v>10.679247839999999</v>
      </c>
      <c r="K30" s="3">
        <v>120</v>
      </c>
      <c r="L30" t="s">
        <v>41</v>
      </c>
      <c r="M30">
        <v>2</v>
      </c>
      <c r="N30" s="1">
        <v>7.2</v>
      </c>
      <c r="O30" s="1">
        <f t="shared" si="0"/>
        <v>9.1999999999999993</v>
      </c>
      <c r="P30" s="1">
        <f t="shared" si="1"/>
        <v>5.8000000000000007</v>
      </c>
      <c r="Q30" s="1">
        <v>15</v>
      </c>
      <c r="R30">
        <v>38.666666666666671</v>
      </c>
      <c r="S30">
        <v>20</v>
      </c>
      <c r="T30">
        <v>56.06</v>
      </c>
      <c r="U30">
        <v>36.058999999999997</v>
      </c>
      <c r="V30">
        <v>64.322154830000002</v>
      </c>
      <c r="W30" s="3">
        <v>24.8</v>
      </c>
      <c r="X30" s="3">
        <v>6.1858590400000004</v>
      </c>
      <c r="Y30" s="3">
        <v>52.17</v>
      </c>
      <c r="Z30">
        <v>2.3001725130000001</v>
      </c>
      <c r="AA30">
        <v>10.02875216</v>
      </c>
      <c r="AB30">
        <v>5.2312478440000003</v>
      </c>
      <c r="AC30">
        <v>34.280785340000001</v>
      </c>
      <c r="AD30">
        <v>62.036447189999997</v>
      </c>
      <c r="AE30">
        <v>56.199203670000003</v>
      </c>
      <c r="AF30">
        <v>75.344999999999999</v>
      </c>
      <c r="AG30">
        <v>131.5442037</v>
      </c>
      <c r="AH30">
        <v>69.507756479999998</v>
      </c>
      <c r="AI30">
        <v>52.839847399999996</v>
      </c>
      <c r="AJ30" s="3">
        <v>8.76</v>
      </c>
      <c r="AK30">
        <v>87.6</v>
      </c>
      <c r="AL30">
        <v>878.51868890000003</v>
      </c>
      <c r="AM30">
        <v>598.2495874</v>
      </c>
      <c r="AN30">
        <v>1230</v>
      </c>
      <c r="AO30">
        <v>1828.249587</v>
      </c>
      <c r="AP30">
        <v>949.73089849999997</v>
      </c>
      <c r="AQ30">
        <v>51.94755164</v>
      </c>
    </row>
    <row r="31" spans="1:43" x14ac:dyDescent="0.35">
      <c r="A31">
        <v>1</v>
      </c>
      <c r="B31">
        <v>246</v>
      </c>
      <c r="C31" t="s">
        <v>35</v>
      </c>
      <c r="D31">
        <v>5.5</v>
      </c>
      <c r="E31">
        <v>3</v>
      </c>
      <c r="F31">
        <v>414</v>
      </c>
      <c r="G31">
        <v>91.780465449999994</v>
      </c>
      <c r="H31">
        <v>14.49</v>
      </c>
      <c r="I31" s="1">
        <v>18.2532</v>
      </c>
      <c r="J31" s="1">
        <v>6.6538537499999997</v>
      </c>
      <c r="K31" s="3">
        <v>270</v>
      </c>
      <c r="L31" t="s">
        <v>42</v>
      </c>
      <c r="M31">
        <v>0</v>
      </c>
      <c r="N31" s="1">
        <v>5</v>
      </c>
      <c r="O31" s="1">
        <f t="shared" si="0"/>
        <v>5</v>
      </c>
      <c r="P31" s="1">
        <f t="shared" si="1"/>
        <v>10</v>
      </c>
      <c r="Q31" s="1">
        <v>15</v>
      </c>
      <c r="R31">
        <v>66.666666666666671</v>
      </c>
      <c r="S31">
        <v>20</v>
      </c>
      <c r="T31">
        <v>54.4</v>
      </c>
      <c r="U31">
        <v>34.403500000000001</v>
      </c>
      <c r="V31">
        <v>63.241727939999997</v>
      </c>
      <c r="W31" s="3">
        <v>22.26</v>
      </c>
      <c r="X31" s="3">
        <v>7.3950252499999998</v>
      </c>
      <c r="Y31" s="3">
        <v>42.83</v>
      </c>
      <c r="Z31">
        <v>2.8017744570000001</v>
      </c>
      <c r="AA31">
        <v>11.59934625</v>
      </c>
      <c r="AB31">
        <v>2.890653747</v>
      </c>
      <c r="AC31">
        <v>19.949301219999999</v>
      </c>
      <c r="AD31">
        <v>85.777458420000002</v>
      </c>
      <c r="AE31">
        <v>54.058694150000001</v>
      </c>
      <c r="AF31">
        <v>75.344999999999999</v>
      </c>
      <c r="AG31">
        <v>129.40369419999999</v>
      </c>
      <c r="AH31">
        <v>43.626235729999998</v>
      </c>
      <c r="AI31">
        <v>33.713284629999997</v>
      </c>
      <c r="AJ31" s="3">
        <v>13.15</v>
      </c>
      <c r="AK31">
        <v>131.5</v>
      </c>
      <c r="AL31">
        <v>1525.314032</v>
      </c>
      <c r="AM31">
        <v>575.4635184</v>
      </c>
      <c r="AN31">
        <v>1230</v>
      </c>
      <c r="AO31">
        <v>1805.463518</v>
      </c>
      <c r="AP31">
        <v>280.14948620000001</v>
      </c>
      <c r="AQ31">
        <v>15.5167625</v>
      </c>
    </row>
    <row r="32" spans="1:43" x14ac:dyDescent="0.35">
      <c r="A32">
        <v>1</v>
      </c>
      <c r="B32">
        <v>247</v>
      </c>
      <c r="C32" t="s">
        <v>34</v>
      </c>
      <c r="D32">
        <v>9</v>
      </c>
      <c r="E32">
        <v>5</v>
      </c>
      <c r="F32">
        <v>384</v>
      </c>
      <c r="G32">
        <v>86.745792350000002</v>
      </c>
      <c r="H32">
        <v>13.44</v>
      </c>
      <c r="I32" s="1">
        <v>21.258499999999898</v>
      </c>
      <c r="J32" s="1">
        <v>13.629360926999897</v>
      </c>
      <c r="K32" s="3">
        <v>240</v>
      </c>
      <c r="L32" t="s">
        <v>42</v>
      </c>
      <c r="M32">
        <v>0</v>
      </c>
      <c r="N32" s="1">
        <v>5</v>
      </c>
      <c r="O32" s="1">
        <f t="shared" si="0"/>
        <v>5</v>
      </c>
      <c r="P32" s="1">
        <f t="shared" si="1"/>
        <v>10</v>
      </c>
      <c r="Q32" s="1">
        <v>15</v>
      </c>
      <c r="R32">
        <v>66.666666666666671</v>
      </c>
      <c r="S32">
        <v>20</v>
      </c>
      <c r="T32">
        <v>52.15</v>
      </c>
      <c r="U32">
        <v>32.146000000000001</v>
      </c>
      <c r="V32">
        <v>61.641418979999997</v>
      </c>
      <c r="W32" s="3">
        <v>25.01</v>
      </c>
      <c r="X32" s="3">
        <v>6.2382750400000004</v>
      </c>
      <c r="Y32" s="3">
        <v>60.4</v>
      </c>
      <c r="Z32">
        <v>1.986754967</v>
      </c>
      <c r="AA32">
        <v>7.6291390730000002</v>
      </c>
      <c r="AB32">
        <v>5.8108609270000002</v>
      </c>
      <c r="AC32">
        <v>43.23557237</v>
      </c>
      <c r="AD32">
        <v>47.592667849999998</v>
      </c>
      <c r="AE32">
        <v>51.093271690000002</v>
      </c>
      <c r="AF32">
        <v>75.344999999999999</v>
      </c>
      <c r="AG32">
        <v>126.4382717</v>
      </c>
      <c r="AH32">
        <v>78.845603839999995</v>
      </c>
      <c r="AI32">
        <v>62.358969940000001</v>
      </c>
      <c r="AJ32" s="3">
        <v>9.24</v>
      </c>
      <c r="AK32">
        <v>92.4</v>
      </c>
      <c r="AL32">
        <v>704.93245030000003</v>
      </c>
      <c r="AM32">
        <v>543.896118</v>
      </c>
      <c r="AN32">
        <v>1230</v>
      </c>
      <c r="AO32">
        <v>1773.8961179999999</v>
      </c>
      <c r="AP32">
        <v>1068.9636680000001</v>
      </c>
      <c r="AQ32">
        <v>60.260781719999997</v>
      </c>
    </row>
    <row r="33" spans="1:43" x14ac:dyDescent="0.35">
      <c r="A33">
        <v>1</v>
      </c>
      <c r="B33">
        <v>248</v>
      </c>
      <c r="C33" t="s">
        <v>35</v>
      </c>
      <c r="D33">
        <v>7</v>
      </c>
      <c r="E33">
        <v>3</v>
      </c>
      <c r="F33">
        <v>530</v>
      </c>
      <c r="G33">
        <v>110.4604739</v>
      </c>
      <c r="H33">
        <v>18.55</v>
      </c>
      <c r="I33" s="1">
        <v>21.055799999999998</v>
      </c>
      <c r="J33" s="1">
        <v>5.8840442699999986</v>
      </c>
      <c r="K33" s="3">
        <v>150</v>
      </c>
      <c r="L33" t="s">
        <v>41</v>
      </c>
      <c r="M33">
        <v>1</v>
      </c>
      <c r="N33" s="1">
        <v>13</v>
      </c>
      <c r="O33" s="1">
        <f t="shared" si="0"/>
        <v>14</v>
      </c>
      <c r="P33" s="1">
        <f t="shared" si="1"/>
        <v>6</v>
      </c>
      <c r="Q33" s="1">
        <v>20</v>
      </c>
      <c r="R33">
        <v>30</v>
      </c>
      <c r="S33">
        <v>20</v>
      </c>
      <c r="T33">
        <v>66.78</v>
      </c>
      <c r="U33">
        <v>46.782499999999999</v>
      </c>
      <c r="V33">
        <v>70.054657079999998</v>
      </c>
      <c r="W33" s="3">
        <v>34.840000000000003</v>
      </c>
      <c r="X33" s="3">
        <v>7.0056202900000004</v>
      </c>
      <c r="Y33" s="3">
        <v>41.92</v>
      </c>
      <c r="Z33">
        <v>2.8625954199999999</v>
      </c>
      <c r="AA33">
        <v>15.171755729999999</v>
      </c>
      <c r="AB33">
        <v>3.3782442750000001</v>
      </c>
      <c r="AC33">
        <v>18.211559430000001</v>
      </c>
      <c r="AD33">
        <v>106.2875597</v>
      </c>
      <c r="AE33">
        <v>65.061219140000006</v>
      </c>
      <c r="AF33">
        <v>100.46</v>
      </c>
      <c r="AG33">
        <v>165.5212191</v>
      </c>
      <c r="AH33">
        <v>59.233659400000001</v>
      </c>
      <c r="AI33">
        <v>35.786142529999999</v>
      </c>
      <c r="AJ33" s="3">
        <v>7.49</v>
      </c>
      <c r="AK33">
        <v>74.900000000000006</v>
      </c>
      <c r="AL33">
        <v>1136.3645039999999</v>
      </c>
      <c r="AM33">
        <v>692.58717149999995</v>
      </c>
      <c r="AN33">
        <v>1640</v>
      </c>
      <c r="AO33">
        <v>2332.5871710000001</v>
      </c>
      <c r="AP33">
        <v>1196.2226680000001</v>
      </c>
      <c r="AQ33">
        <v>51.283085249999999</v>
      </c>
    </row>
    <row r="34" spans="1:43" x14ac:dyDescent="0.35">
      <c r="A34">
        <v>1</v>
      </c>
      <c r="B34">
        <v>249</v>
      </c>
      <c r="C34" t="s">
        <v>34</v>
      </c>
      <c r="D34">
        <v>4</v>
      </c>
      <c r="E34">
        <v>2</v>
      </c>
      <c r="F34">
        <v>364</v>
      </c>
      <c r="G34">
        <v>83.334730969999995</v>
      </c>
      <c r="H34">
        <v>12.74</v>
      </c>
      <c r="I34" s="1">
        <v>16.035999999999998</v>
      </c>
      <c r="J34" s="1">
        <v>10.172912751999998</v>
      </c>
      <c r="K34" s="3">
        <v>150</v>
      </c>
      <c r="L34" t="s">
        <v>41</v>
      </c>
      <c r="M34">
        <v>1</v>
      </c>
      <c r="N34" s="1">
        <v>6</v>
      </c>
      <c r="O34" s="1">
        <f t="shared" si="0"/>
        <v>7</v>
      </c>
      <c r="P34" s="1">
        <f t="shared" si="1"/>
        <v>8</v>
      </c>
      <c r="Q34" s="1">
        <v>15</v>
      </c>
      <c r="R34">
        <v>53.333333333333336</v>
      </c>
      <c r="S34">
        <v>20</v>
      </c>
      <c r="T34">
        <v>50.64</v>
      </c>
      <c r="U34">
        <v>30.640999999999998</v>
      </c>
      <c r="V34">
        <v>60.50750395</v>
      </c>
      <c r="W34" s="3">
        <v>31.51</v>
      </c>
      <c r="X34" s="3">
        <v>7.9903802099999996</v>
      </c>
      <c r="Y34" s="3">
        <v>74.5</v>
      </c>
      <c r="Z34">
        <v>1.610738255</v>
      </c>
      <c r="AA34">
        <v>5.8630872480000003</v>
      </c>
      <c r="AB34">
        <v>6.876912752</v>
      </c>
      <c r="AC34">
        <v>53.978907</v>
      </c>
      <c r="AD34">
        <v>46.848296320000003</v>
      </c>
      <c r="AE34">
        <v>49.084156540000002</v>
      </c>
      <c r="AF34">
        <v>75.344999999999999</v>
      </c>
      <c r="AG34">
        <v>124.4291565</v>
      </c>
      <c r="AH34">
        <v>77.580860220000005</v>
      </c>
      <c r="AI34">
        <v>62.349422259999997</v>
      </c>
      <c r="AJ34" s="3">
        <v>11.43</v>
      </c>
      <c r="AK34">
        <v>114.3</v>
      </c>
      <c r="AL34">
        <v>670.15087249999999</v>
      </c>
      <c r="AM34">
        <v>522.50876319999998</v>
      </c>
      <c r="AN34">
        <v>1230</v>
      </c>
      <c r="AO34">
        <v>1752.508763</v>
      </c>
      <c r="AP34">
        <v>1082.3578910000001</v>
      </c>
      <c r="AQ34">
        <v>61.760483800000003</v>
      </c>
    </row>
    <row r="35" spans="1:43" x14ac:dyDescent="0.35">
      <c r="A35">
        <v>1</v>
      </c>
      <c r="B35">
        <v>250</v>
      </c>
      <c r="C35" t="s">
        <v>35</v>
      </c>
      <c r="D35">
        <v>8</v>
      </c>
      <c r="E35">
        <v>5</v>
      </c>
      <c r="F35">
        <v>384</v>
      </c>
      <c r="G35">
        <v>86.745792350000002</v>
      </c>
      <c r="H35">
        <v>13.44</v>
      </c>
      <c r="I35" s="1">
        <v>19.364599999999999</v>
      </c>
      <c r="J35" s="1">
        <v>11.815451899999999</v>
      </c>
      <c r="K35" s="3">
        <v>120</v>
      </c>
      <c r="L35" t="s">
        <v>41</v>
      </c>
      <c r="M35">
        <v>2</v>
      </c>
      <c r="N35" s="1">
        <v>7</v>
      </c>
      <c r="O35" s="1">
        <f t="shared" si="0"/>
        <v>9</v>
      </c>
      <c r="P35" s="1">
        <f t="shared" si="1"/>
        <v>6</v>
      </c>
      <c r="Q35" s="1">
        <v>15</v>
      </c>
      <c r="R35">
        <v>40</v>
      </c>
      <c r="S35">
        <v>50</v>
      </c>
      <c r="T35">
        <v>52.15</v>
      </c>
      <c r="U35">
        <v>2.1459999999999999</v>
      </c>
      <c r="V35">
        <v>4.1150527329999997</v>
      </c>
      <c r="W35" s="3">
        <v>32.68</v>
      </c>
      <c r="X35" s="3">
        <v>7.62516324</v>
      </c>
      <c r="Y35" s="3">
        <v>61.04</v>
      </c>
      <c r="Z35">
        <v>1.965923984</v>
      </c>
      <c r="AA35">
        <v>7.5491481</v>
      </c>
      <c r="AB35">
        <v>5.8908519000000004</v>
      </c>
      <c r="AC35">
        <v>43.830743310000003</v>
      </c>
      <c r="AD35">
        <v>57.563486580000003</v>
      </c>
      <c r="AE35">
        <v>51.093271690000002</v>
      </c>
      <c r="AF35">
        <v>75.344999999999999</v>
      </c>
      <c r="AG35">
        <v>126.4382717</v>
      </c>
      <c r="AH35">
        <v>68.874785110000005</v>
      </c>
      <c r="AI35">
        <v>54.473051699999999</v>
      </c>
      <c r="AJ35" s="3">
        <v>10.66</v>
      </c>
      <c r="AK35">
        <v>106.6</v>
      </c>
      <c r="AL35">
        <v>804.73918739999999</v>
      </c>
      <c r="AM35">
        <v>543.896118</v>
      </c>
      <c r="AN35">
        <v>1230</v>
      </c>
      <c r="AO35">
        <v>1773.8961179999999</v>
      </c>
      <c r="AP35">
        <v>969.15693060000001</v>
      </c>
      <c r="AQ35">
        <v>54.634367859999998</v>
      </c>
    </row>
    <row r="36" spans="1:43" x14ac:dyDescent="0.35">
      <c r="A36">
        <v>1</v>
      </c>
      <c r="B36">
        <v>251</v>
      </c>
      <c r="C36" t="s">
        <v>35</v>
      </c>
      <c r="D36">
        <v>4</v>
      </c>
      <c r="E36">
        <v>1</v>
      </c>
      <c r="F36">
        <v>540</v>
      </c>
      <c r="G36">
        <v>112.01993589999999</v>
      </c>
      <c r="H36">
        <v>18.899999999999999</v>
      </c>
      <c r="I36" s="1">
        <v>4.0911600000000004</v>
      </c>
      <c r="J36" s="1">
        <v>-5.5862593549999993</v>
      </c>
      <c r="K36" s="3">
        <v>75</v>
      </c>
      <c r="L36" t="s">
        <v>40</v>
      </c>
      <c r="M36">
        <v>4</v>
      </c>
      <c r="N36" s="1">
        <v>8</v>
      </c>
      <c r="O36" s="1">
        <f t="shared" si="0"/>
        <v>12</v>
      </c>
      <c r="P36" s="1">
        <f t="shared" si="1"/>
        <v>3</v>
      </c>
      <c r="Q36" s="1">
        <v>15</v>
      </c>
      <c r="R36">
        <v>20</v>
      </c>
      <c r="S36">
        <v>20</v>
      </c>
      <c r="T36">
        <v>63.88</v>
      </c>
      <c r="U36">
        <v>43.884999999999998</v>
      </c>
      <c r="V36">
        <v>68.699123360000002</v>
      </c>
      <c r="W36" s="3">
        <v>22.28</v>
      </c>
      <c r="X36" s="3">
        <v>8.3285406399999999</v>
      </c>
      <c r="Y36" s="3">
        <v>66.959999999999994</v>
      </c>
      <c r="Z36">
        <v>1.792114695</v>
      </c>
      <c r="AA36">
        <v>9.6774193549999996</v>
      </c>
      <c r="AB36">
        <v>9.2225806450000007</v>
      </c>
      <c r="AC36">
        <v>48.796722989999999</v>
      </c>
      <c r="AD36">
        <v>80.598780390000002</v>
      </c>
      <c r="AE36">
        <v>65.979742250000001</v>
      </c>
      <c r="AF36">
        <v>75.344999999999999</v>
      </c>
      <c r="AG36">
        <v>141.3247423</v>
      </c>
      <c r="AH36">
        <v>60.725961869999999</v>
      </c>
      <c r="AI36">
        <v>42.969094370000001</v>
      </c>
      <c r="AJ36" s="3">
        <v>11.96</v>
      </c>
      <c r="AK36">
        <v>119.6</v>
      </c>
      <c r="AL36">
        <v>1157.419355</v>
      </c>
      <c r="AM36">
        <v>702.36499819999995</v>
      </c>
      <c r="AN36">
        <v>1230</v>
      </c>
      <c r="AO36">
        <v>1932.364998</v>
      </c>
      <c r="AP36">
        <v>774.94564330000003</v>
      </c>
      <c r="AQ36">
        <v>40.103481700000003</v>
      </c>
    </row>
    <row r="37" spans="1:43" x14ac:dyDescent="0.35">
      <c r="A37">
        <v>1</v>
      </c>
      <c r="B37">
        <v>252</v>
      </c>
      <c r="C37" t="s">
        <v>35</v>
      </c>
      <c r="D37">
        <v>8</v>
      </c>
      <c r="E37">
        <v>4</v>
      </c>
      <c r="F37">
        <v>587</v>
      </c>
      <c r="G37">
        <v>119.2555435</v>
      </c>
      <c r="H37">
        <v>20.545000000000002</v>
      </c>
      <c r="I37" s="1">
        <v>4.7124000000000006</v>
      </c>
      <c r="J37" s="1">
        <v>-8.5306908099999994</v>
      </c>
      <c r="K37" s="3">
        <v>75</v>
      </c>
      <c r="L37" t="s">
        <v>40</v>
      </c>
      <c r="M37">
        <v>4</v>
      </c>
      <c r="N37" s="1">
        <v>4.5</v>
      </c>
      <c r="O37" s="1">
        <f t="shared" si="0"/>
        <v>8.5</v>
      </c>
      <c r="P37" s="1">
        <f t="shared" si="1"/>
        <v>6.5</v>
      </c>
      <c r="Q37" s="1">
        <v>15</v>
      </c>
      <c r="R37">
        <v>43.333333333333336</v>
      </c>
      <c r="S37">
        <v>20</v>
      </c>
      <c r="T37">
        <v>67.42</v>
      </c>
      <c r="U37">
        <v>47.421750000000003</v>
      </c>
      <c r="V37">
        <v>70.337807769999998</v>
      </c>
      <c r="W37" s="3">
        <v>20.23</v>
      </c>
      <c r="X37" s="3">
        <v>5.4378147600000002</v>
      </c>
      <c r="Y37" s="3">
        <v>53.19</v>
      </c>
      <c r="Z37">
        <v>2.25606317</v>
      </c>
      <c r="AA37">
        <v>13.24309081</v>
      </c>
      <c r="AB37">
        <v>7.3019091930000002</v>
      </c>
      <c r="AC37">
        <v>35.541052290000003</v>
      </c>
      <c r="AD37">
        <v>72.01347466</v>
      </c>
      <c r="AE37">
        <v>70.241515109999995</v>
      </c>
      <c r="AF37">
        <v>75.344999999999999</v>
      </c>
      <c r="AG37">
        <v>145.58651510000001</v>
      </c>
      <c r="AH37">
        <v>73.573040449999993</v>
      </c>
      <c r="AI37">
        <v>50.535614780000003</v>
      </c>
      <c r="AJ37" s="3">
        <v>9.3800000000000008</v>
      </c>
      <c r="AK37">
        <v>93.8</v>
      </c>
      <c r="AL37">
        <v>1242.201918</v>
      </c>
      <c r="AM37">
        <v>747.73225760000003</v>
      </c>
      <c r="AN37">
        <v>1230</v>
      </c>
      <c r="AO37">
        <v>1977.732258</v>
      </c>
      <c r="AP37">
        <v>735.53033989999994</v>
      </c>
      <c r="AQ37">
        <v>37.190592260000003</v>
      </c>
    </row>
    <row r="38" spans="1:43" x14ac:dyDescent="0.35">
      <c r="A38">
        <v>1</v>
      </c>
      <c r="B38">
        <v>253</v>
      </c>
      <c r="C38" t="s">
        <v>34</v>
      </c>
      <c r="D38">
        <v>6</v>
      </c>
      <c r="E38">
        <v>2</v>
      </c>
      <c r="F38">
        <v>680</v>
      </c>
      <c r="G38">
        <v>133.16242170000001</v>
      </c>
      <c r="H38">
        <v>23.8</v>
      </c>
      <c r="I38" s="1">
        <v>9.2485499999999998</v>
      </c>
      <c r="J38" s="1">
        <v>-6.5991874199999998</v>
      </c>
      <c r="K38" s="3">
        <v>180</v>
      </c>
      <c r="L38" t="s">
        <v>41</v>
      </c>
      <c r="M38">
        <v>1</v>
      </c>
      <c r="N38" s="1">
        <v>12</v>
      </c>
      <c r="O38" s="1">
        <f t="shared" si="0"/>
        <v>13</v>
      </c>
      <c r="P38" s="1">
        <f t="shared" si="1"/>
        <v>2</v>
      </c>
      <c r="Q38" s="1">
        <v>15</v>
      </c>
      <c r="R38">
        <v>13.333333333333334</v>
      </c>
      <c r="S38">
        <v>60</v>
      </c>
      <c r="T38">
        <v>74.42</v>
      </c>
      <c r="U38">
        <v>14.42</v>
      </c>
      <c r="V38">
        <v>19.376511690000001</v>
      </c>
      <c r="W38" s="3">
        <v>26.43</v>
      </c>
      <c r="X38" s="3">
        <v>3.92848804</v>
      </c>
      <c r="Y38" s="3">
        <v>51.49</v>
      </c>
      <c r="Z38">
        <v>2.3305496209999998</v>
      </c>
      <c r="AA38">
        <v>15.84773742</v>
      </c>
      <c r="AB38">
        <v>7.9522625749999998</v>
      </c>
      <c r="AC38">
        <v>33.41286796</v>
      </c>
      <c r="AD38">
        <v>62.25764693</v>
      </c>
      <c r="AE38">
        <v>78.432666359999999</v>
      </c>
      <c r="AF38">
        <v>75.344999999999999</v>
      </c>
      <c r="AG38">
        <v>153.77766639999999</v>
      </c>
      <c r="AH38">
        <v>91.520019419999997</v>
      </c>
      <c r="AI38">
        <v>59.514506619999999</v>
      </c>
      <c r="AJ38" s="3">
        <v>9.26</v>
      </c>
      <c r="AK38">
        <v>92.6</v>
      </c>
      <c r="AL38">
        <v>1467.5004859999999</v>
      </c>
      <c r="AM38">
        <v>834.92838380000001</v>
      </c>
      <c r="AN38">
        <v>1230</v>
      </c>
      <c r="AO38">
        <v>2064.9283839999998</v>
      </c>
      <c r="AP38">
        <v>597.42789830000004</v>
      </c>
      <c r="AQ38">
        <v>28.93213648</v>
      </c>
    </row>
    <row r="39" spans="1:43" x14ac:dyDescent="0.35">
      <c r="A39">
        <v>1</v>
      </c>
      <c r="B39">
        <v>255</v>
      </c>
      <c r="C39" t="s">
        <v>35</v>
      </c>
      <c r="E39">
        <v>4</v>
      </c>
      <c r="F39">
        <v>340</v>
      </c>
      <c r="G39">
        <v>79.178849639999996</v>
      </c>
      <c r="H39">
        <v>11.9</v>
      </c>
      <c r="I39" s="1">
        <v>8.1079999999999899</v>
      </c>
      <c r="J39" s="1">
        <v>0.81055768199999001</v>
      </c>
      <c r="K39" s="3">
        <v>120</v>
      </c>
      <c r="L39" t="s">
        <v>41</v>
      </c>
      <c r="M39">
        <v>2</v>
      </c>
      <c r="N39" s="1">
        <v>6</v>
      </c>
      <c r="O39" s="1">
        <f t="shared" si="0"/>
        <v>8</v>
      </c>
      <c r="P39" s="1">
        <f t="shared" si="1"/>
        <v>7</v>
      </c>
      <c r="Q39" s="1">
        <v>15</v>
      </c>
      <c r="R39">
        <v>46.666666666666664</v>
      </c>
      <c r="S39">
        <v>22</v>
      </c>
      <c r="T39">
        <v>48.83</v>
      </c>
      <c r="U39">
        <v>26.835000000000001</v>
      </c>
      <c r="V39">
        <v>54.955969690000003</v>
      </c>
      <c r="W39" s="3">
        <v>20.27</v>
      </c>
      <c r="X39" s="3">
        <v>8.1636294100000004</v>
      </c>
      <c r="Y39" s="3">
        <v>55.91</v>
      </c>
      <c r="Z39">
        <v>2.1463065640000001</v>
      </c>
      <c r="AA39">
        <v>7.2974423179999999</v>
      </c>
      <c r="AB39">
        <v>4.6025576819999996</v>
      </c>
      <c r="AC39">
        <v>38.676955309999997</v>
      </c>
      <c r="AD39">
        <v>59.573614730000003</v>
      </c>
      <c r="AE39">
        <v>46.63634244</v>
      </c>
      <c r="AF39">
        <v>75.344999999999999</v>
      </c>
      <c r="AG39">
        <v>121.9813424</v>
      </c>
      <c r="AH39">
        <v>62.407727719999997</v>
      </c>
      <c r="AI39">
        <v>51.161699380000002</v>
      </c>
      <c r="AJ39" s="3">
        <v>11.73</v>
      </c>
      <c r="AK39">
        <v>117.3</v>
      </c>
      <c r="AL39">
        <v>855.98998389999997</v>
      </c>
      <c r="AM39">
        <v>496.45138730000002</v>
      </c>
      <c r="AN39">
        <v>1230</v>
      </c>
      <c r="AO39">
        <v>1726.4513870000001</v>
      </c>
      <c r="AP39">
        <v>870.46140339999999</v>
      </c>
      <c r="AQ39">
        <v>50.419108799999997</v>
      </c>
    </row>
    <row r="40" spans="1:43" x14ac:dyDescent="0.35">
      <c r="A40">
        <v>1</v>
      </c>
      <c r="B40">
        <v>256</v>
      </c>
      <c r="C40" t="s">
        <v>35</v>
      </c>
      <c r="D40">
        <v>2.5</v>
      </c>
      <c r="E40">
        <v>1</v>
      </c>
      <c r="F40">
        <v>325</v>
      </c>
      <c r="G40">
        <v>76.544240950000002</v>
      </c>
      <c r="H40">
        <v>11.375</v>
      </c>
      <c r="I40" s="1">
        <v>7.9406499999999998</v>
      </c>
      <c r="J40" s="1">
        <v>1.4123607470000001</v>
      </c>
      <c r="K40" s="3">
        <v>30</v>
      </c>
      <c r="L40" t="s">
        <v>40</v>
      </c>
      <c r="M40">
        <v>6</v>
      </c>
      <c r="N40" s="1">
        <v>4</v>
      </c>
      <c r="O40" s="1">
        <f t="shared" si="0"/>
        <v>10</v>
      </c>
      <c r="P40" s="1">
        <f t="shared" si="1"/>
        <v>10</v>
      </c>
      <c r="Q40" s="1">
        <v>20</v>
      </c>
      <c r="R40">
        <v>50</v>
      </c>
      <c r="S40">
        <v>20</v>
      </c>
      <c r="T40">
        <v>51.36</v>
      </c>
      <c r="U40">
        <v>31.356249999999999</v>
      </c>
      <c r="V40">
        <v>61.051888630000001</v>
      </c>
      <c r="W40" s="3">
        <v>31.07</v>
      </c>
      <c r="X40" s="3">
        <v>6.9610086400000002</v>
      </c>
      <c r="Y40" s="3">
        <v>59.74</v>
      </c>
      <c r="Z40">
        <v>2.0087043859999998</v>
      </c>
      <c r="AA40">
        <v>6.5282892529999996</v>
      </c>
      <c r="AB40">
        <v>4.8467107470000004</v>
      </c>
      <c r="AC40">
        <v>42.608446120000004</v>
      </c>
      <c r="AD40">
        <v>45.443477899999998</v>
      </c>
      <c r="AE40">
        <v>45.084557920000002</v>
      </c>
      <c r="AF40">
        <v>100.46</v>
      </c>
      <c r="AG40">
        <v>145.5445579</v>
      </c>
      <c r="AH40">
        <v>100.10108</v>
      </c>
      <c r="AI40">
        <v>68.776930899999996</v>
      </c>
      <c r="AJ40" s="3">
        <v>7.04</v>
      </c>
      <c r="AK40">
        <v>70.400000000000006</v>
      </c>
      <c r="AL40">
        <v>459.59156339999998</v>
      </c>
      <c r="AM40">
        <v>479.93239080000001</v>
      </c>
      <c r="AN40">
        <v>1640</v>
      </c>
      <c r="AO40">
        <v>2119.9323909999998</v>
      </c>
      <c r="AP40">
        <v>1660.340827</v>
      </c>
      <c r="AQ40">
        <v>78.320461280000004</v>
      </c>
    </row>
    <row r="41" spans="1:43" x14ac:dyDescent="0.35">
      <c r="A41">
        <v>1</v>
      </c>
      <c r="B41">
        <v>257</v>
      </c>
      <c r="C41" t="s">
        <v>34</v>
      </c>
      <c r="D41">
        <v>7</v>
      </c>
      <c r="E41">
        <v>3</v>
      </c>
      <c r="F41">
        <v>530</v>
      </c>
      <c r="G41">
        <v>110.4604739</v>
      </c>
      <c r="H41">
        <v>18.55</v>
      </c>
      <c r="I41" s="1">
        <v>12.605</v>
      </c>
      <c r="J41" s="1">
        <v>3.2036696229999997</v>
      </c>
      <c r="K41" s="3">
        <v>90</v>
      </c>
      <c r="L41" t="s">
        <v>40</v>
      </c>
      <c r="M41">
        <v>4</v>
      </c>
      <c r="N41" s="1">
        <v>13</v>
      </c>
      <c r="O41" s="1">
        <f t="shared" si="0"/>
        <v>17</v>
      </c>
      <c r="P41" s="1">
        <f t="shared" si="1"/>
        <v>-2</v>
      </c>
      <c r="Q41" s="1">
        <v>15</v>
      </c>
      <c r="R41">
        <v>-13.333333333333334</v>
      </c>
      <c r="S41">
        <v>80</v>
      </c>
      <c r="T41">
        <v>66.78</v>
      </c>
      <c r="U41">
        <v>-13.217499999999999</v>
      </c>
      <c r="V41">
        <v>-19.792602580000001</v>
      </c>
      <c r="W41" s="3">
        <v>21.38</v>
      </c>
      <c r="X41" s="3">
        <v>2.9337530100000002</v>
      </c>
      <c r="Y41" s="3">
        <v>67.650000000000006</v>
      </c>
      <c r="Z41">
        <v>1.77383592</v>
      </c>
      <c r="AA41">
        <v>9.4013303770000007</v>
      </c>
      <c r="AB41">
        <v>9.148669623</v>
      </c>
      <c r="AC41">
        <v>49.318973710000002</v>
      </c>
      <c r="AD41">
        <v>27.58118129</v>
      </c>
      <c r="AE41">
        <v>65.061219140000006</v>
      </c>
      <c r="AF41">
        <v>100.46</v>
      </c>
      <c r="AG41">
        <v>165.5212191</v>
      </c>
      <c r="AH41">
        <v>137.9400378</v>
      </c>
      <c r="AI41">
        <v>83.336770090000002</v>
      </c>
      <c r="AJ41" s="3">
        <v>8.8699999999999992</v>
      </c>
      <c r="AK41">
        <v>88.7</v>
      </c>
      <c r="AL41">
        <v>833.89800439999999</v>
      </c>
      <c r="AM41">
        <v>692.58717149999995</v>
      </c>
      <c r="AN41">
        <v>1640</v>
      </c>
      <c r="AO41">
        <v>2332.5871710000001</v>
      </c>
      <c r="AP41">
        <v>1498.689167</v>
      </c>
      <c r="AQ41">
        <v>64.250081859999995</v>
      </c>
    </row>
    <row r="42" spans="1:43" x14ac:dyDescent="0.35">
      <c r="A42">
        <v>1</v>
      </c>
      <c r="B42">
        <v>258</v>
      </c>
      <c r="C42" t="s">
        <v>35</v>
      </c>
      <c r="D42">
        <v>9</v>
      </c>
      <c r="E42">
        <v>5</v>
      </c>
      <c r="F42">
        <v>731</v>
      </c>
      <c r="G42">
        <v>140.58469170000001</v>
      </c>
      <c r="H42">
        <v>25.585000000000001</v>
      </c>
      <c r="I42" s="1">
        <v>22.169250000000002</v>
      </c>
      <c r="J42" s="1">
        <v>5.5744713400000023</v>
      </c>
      <c r="K42" s="3">
        <v>240</v>
      </c>
      <c r="L42" t="s">
        <v>42</v>
      </c>
      <c r="M42">
        <v>0</v>
      </c>
      <c r="N42" s="1">
        <v>8</v>
      </c>
      <c r="O42" s="1">
        <f t="shared" si="0"/>
        <v>8</v>
      </c>
      <c r="P42" s="1">
        <f t="shared" si="1"/>
        <v>12</v>
      </c>
      <c r="Q42" s="1">
        <v>20</v>
      </c>
      <c r="R42">
        <v>60</v>
      </c>
      <c r="S42">
        <v>55</v>
      </c>
      <c r="T42">
        <v>78.260000000000005</v>
      </c>
      <c r="U42">
        <v>23.257750000000001</v>
      </c>
      <c r="V42">
        <v>29.718566320000001</v>
      </c>
      <c r="W42" s="3">
        <v>26.55</v>
      </c>
      <c r="X42" s="3">
        <v>7.0443452500000001</v>
      </c>
      <c r="Y42" s="3">
        <v>52.86</v>
      </c>
      <c r="Z42">
        <v>2.2701475599999998</v>
      </c>
      <c r="AA42">
        <v>16.594778659999999</v>
      </c>
      <c r="AB42">
        <v>8.9902213389999996</v>
      </c>
      <c r="AC42">
        <v>35.138641149999998</v>
      </c>
      <c r="AD42">
        <v>116.8993502</v>
      </c>
      <c r="AE42">
        <v>82.804383389999998</v>
      </c>
      <c r="AF42">
        <v>75.344999999999999</v>
      </c>
      <c r="AG42">
        <v>158.1493834</v>
      </c>
      <c r="AH42">
        <v>41.250033160000001</v>
      </c>
      <c r="AI42">
        <v>26.08295541</v>
      </c>
      <c r="AJ42" s="3">
        <v>9.15</v>
      </c>
      <c r="AK42">
        <v>91.5</v>
      </c>
      <c r="AL42">
        <v>1518.422247</v>
      </c>
      <c r="AM42">
        <v>881.46601669999995</v>
      </c>
      <c r="AN42">
        <v>1230</v>
      </c>
      <c r="AO42">
        <v>2111.4660170000002</v>
      </c>
      <c r="AP42">
        <v>593.04376930000001</v>
      </c>
      <c r="AQ42">
        <v>28.0868252</v>
      </c>
    </row>
    <row r="43" spans="1:43" x14ac:dyDescent="0.35">
      <c r="A43">
        <v>1</v>
      </c>
      <c r="B43">
        <v>259</v>
      </c>
      <c r="C43" t="s">
        <v>34</v>
      </c>
      <c r="D43">
        <v>3.6</v>
      </c>
      <c r="E43">
        <v>1</v>
      </c>
      <c r="F43">
        <v>400</v>
      </c>
      <c r="G43">
        <v>89.442719100000005</v>
      </c>
      <c r="H43">
        <v>14</v>
      </c>
      <c r="I43" s="1">
        <v>5.344100000000001</v>
      </c>
      <c r="J43" s="1">
        <v>-1.5853066699999987</v>
      </c>
      <c r="K43" s="3">
        <v>120</v>
      </c>
      <c r="L43" t="s">
        <v>41</v>
      </c>
      <c r="M43">
        <v>2</v>
      </c>
      <c r="N43" s="1">
        <v>5</v>
      </c>
      <c r="O43" s="1">
        <f t="shared" si="0"/>
        <v>7</v>
      </c>
      <c r="P43" s="1">
        <f t="shared" si="1"/>
        <v>10</v>
      </c>
      <c r="Q43" s="1">
        <v>17</v>
      </c>
      <c r="R43">
        <v>58.823529411764703</v>
      </c>
      <c r="S43">
        <v>80</v>
      </c>
      <c r="T43">
        <v>54.81</v>
      </c>
      <c r="U43">
        <v>-25.19</v>
      </c>
      <c r="V43">
        <v>-45.958766650000001</v>
      </c>
      <c r="W43" s="3">
        <v>26.61</v>
      </c>
      <c r="Y43" s="3">
        <v>69.27</v>
      </c>
      <c r="Z43">
        <v>1.7323516670000001</v>
      </c>
      <c r="AA43">
        <v>6.9294066699999997</v>
      </c>
      <c r="AB43">
        <v>7.0705933300000003</v>
      </c>
      <c r="AC43">
        <v>50.50423807</v>
      </c>
      <c r="AM43">
        <v>560.80584880000004</v>
      </c>
      <c r="AN43">
        <v>1230</v>
      </c>
      <c r="AO43">
        <v>1790.8058490000001</v>
      </c>
      <c r="AP43">
        <v>1790.8058490000001</v>
      </c>
    </row>
    <row r="44" spans="1:43" x14ac:dyDescent="0.35">
      <c r="A44">
        <v>1</v>
      </c>
      <c r="B44">
        <v>260</v>
      </c>
      <c r="C44" t="s">
        <v>35</v>
      </c>
      <c r="D44">
        <v>9</v>
      </c>
      <c r="E44">
        <v>4</v>
      </c>
      <c r="F44">
        <v>504</v>
      </c>
      <c r="G44">
        <v>106.3709168</v>
      </c>
      <c r="H44">
        <v>17.64</v>
      </c>
      <c r="I44" s="1">
        <v>12.7425</v>
      </c>
      <c r="J44" s="1">
        <v>4.9866651709999994</v>
      </c>
      <c r="K44" s="3">
        <v>60</v>
      </c>
      <c r="L44" t="s">
        <v>40</v>
      </c>
      <c r="M44">
        <v>6</v>
      </c>
      <c r="N44" s="1">
        <v>6.7</v>
      </c>
      <c r="O44" s="1">
        <f t="shared" si="0"/>
        <v>12.7</v>
      </c>
      <c r="P44" s="1">
        <f t="shared" si="1"/>
        <v>4.3000000000000007</v>
      </c>
      <c r="Q44" s="1">
        <v>17</v>
      </c>
      <c r="R44">
        <v>25.294117647058826</v>
      </c>
      <c r="S44">
        <v>40</v>
      </c>
      <c r="T44">
        <v>62.64</v>
      </c>
      <c r="U44">
        <v>22.635999999999999</v>
      </c>
      <c r="V44">
        <v>36.136653899999999</v>
      </c>
      <c r="W44" s="3">
        <v>23.25</v>
      </c>
      <c r="X44" s="3">
        <v>6.47228125</v>
      </c>
      <c r="Y44" s="3">
        <v>77.98</v>
      </c>
      <c r="Z44">
        <v>1.5388561169999999</v>
      </c>
      <c r="AA44">
        <v>7.7558348290000003</v>
      </c>
      <c r="AB44">
        <v>9.8841651709999994</v>
      </c>
      <c r="AC44">
        <v>56.032682370000003</v>
      </c>
      <c r="AD44">
        <v>50.197944339999999</v>
      </c>
      <c r="AE44">
        <v>62.65246999</v>
      </c>
      <c r="AF44">
        <v>85.391000000000005</v>
      </c>
      <c r="AG44">
        <v>148.04347000000001</v>
      </c>
      <c r="AH44">
        <v>97.845525640000005</v>
      </c>
      <c r="AI44">
        <v>66.092429240000001</v>
      </c>
      <c r="AJ44" s="3">
        <v>11.25</v>
      </c>
      <c r="AK44">
        <v>112.5</v>
      </c>
      <c r="AL44">
        <v>872.53141830000004</v>
      </c>
      <c r="AM44">
        <v>666.94564820000005</v>
      </c>
      <c r="AN44">
        <v>1394</v>
      </c>
      <c r="AO44">
        <v>2060.9456479999999</v>
      </c>
      <c r="AP44">
        <v>1188.4142300000001</v>
      </c>
      <c r="AQ44">
        <v>57.663540570000002</v>
      </c>
    </row>
    <row r="45" spans="1:43" x14ac:dyDescent="0.35">
      <c r="A45">
        <v>1</v>
      </c>
      <c r="B45">
        <v>261</v>
      </c>
      <c r="C45" t="s">
        <v>34</v>
      </c>
      <c r="D45">
        <v>11</v>
      </c>
      <c r="E45">
        <v>7</v>
      </c>
      <c r="F45">
        <v>551</v>
      </c>
      <c r="G45">
        <v>113.7270304</v>
      </c>
      <c r="H45">
        <v>19.285</v>
      </c>
      <c r="I45" s="1">
        <v>16.724399999999999</v>
      </c>
      <c r="J45" s="1">
        <v>3.1973950899999988</v>
      </c>
      <c r="K45" s="3">
        <v>195</v>
      </c>
      <c r="L45" t="s">
        <v>41</v>
      </c>
      <c r="M45">
        <v>1</v>
      </c>
      <c r="N45" s="1">
        <v>6.3</v>
      </c>
      <c r="O45" s="1">
        <f t="shared" si="0"/>
        <v>7.3</v>
      </c>
      <c r="P45" s="1">
        <f t="shared" si="1"/>
        <v>7.7</v>
      </c>
      <c r="Q45" s="1">
        <v>15</v>
      </c>
      <c r="R45">
        <v>51.333333333333336</v>
      </c>
      <c r="S45">
        <v>40</v>
      </c>
      <c r="T45">
        <v>64.709999999999994</v>
      </c>
      <c r="U45">
        <v>24.71275</v>
      </c>
      <c r="V45">
        <v>38.190001549999998</v>
      </c>
      <c r="W45" s="3">
        <v>21.72</v>
      </c>
      <c r="Y45" s="3">
        <v>48.88</v>
      </c>
      <c r="Z45">
        <v>2.4549918169999998</v>
      </c>
      <c r="AA45">
        <v>13.52700491</v>
      </c>
      <c r="AB45">
        <v>5.7579950899999996</v>
      </c>
      <c r="AC45">
        <v>29.857376670000001</v>
      </c>
      <c r="AE45">
        <v>66.985220900000002</v>
      </c>
      <c r="AF45">
        <v>85.391000000000005</v>
      </c>
      <c r="AG45">
        <v>152.37622089999999</v>
      </c>
      <c r="AH45">
        <v>152.37622089999999</v>
      </c>
      <c r="AI45">
        <v>100</v>
      </c>
      <c r="AJ45" s="3">
        <v>7.9</v>
      </c>
      <c r="AK45">
        <v>79</v>
      </c>
      <c r="AL45">
        <v>1068.633388</v>
      </c>
      <c r="AM45">
        <v>713.06848060000004</v>
      </c>
      <c r="AN45">
        <v>1394</v>
      </c>
      <c r="AO45">
        <v>2107.0684809999998</v>
      </c>
      <c r="AP45">
        <v>1038.4350930000001</v>
      </c>
      <c r="AQ45">
        <v>49.283404990000001</v>
      </c>
    </row>
    <row r="46" spans="1:43" x14ac:dyDescent="0.35">
      <c r="A46">
        <v>1</v>
      </c>
      <c r="B46">
        <v>263</v>
      </c>
      <c r="C46" t="s">
        <v>34</v>
      </c>
      <c r="D46">
        <v>3</v>
      </c>
      <c r="E46">
        <v>1</v>
      </c>
      <c r="F46">
        <v>408</v>
      </c>
      <c r="G46">
        <v>90.78103342</v>
      </c>
      <c r="H46">
        <v>14.28</v>
      </c>
      <c r="I46" s="1">
        <v>8.1564999999999994</v>
      </c>
      <c r="J46" s="1">
        <v>0.2110277509999996</v>
      </c>
      <c r="K46" s="3">
        <v>90</v>
      </c>
      <c r="L46" t="s">
        <v>40</v>
      </c>
      <c r="M46">
        <v>4</v>
      </c>
      <c r="N46" s="1">
        <v>3.8</v>
      </c>
      <c r="O46" s="1">
        <f t="shared" si="0"/>
        <v>7.8</v>
      </c>
      <c r="P46" s="1">
        <f t="shared" si="1"/>
        <v>7.2</v>
      </c>
      <c r="Q46" s="1">
        <v>15</v>
      </c>
      <c r="R46">
        <v>48</v>
      </c>
      <c r="S46">
        <v>15</v>
      </c>
      <c r="T46">
        <v>53.95</v>
      </c>
      <c r="U46">
        <v>38.951999999999998</v>
      </c>
      <c r="V46">
        <v>72.200185360000006</v>
      </c>
      <c r="W46" s="3">
        <v>21.5</v>
      </c>
      <c r="X46" s="3">
        <v>6.7182417599999997</v>
      </c>
      <c r="Y46" s="3">
        <v>61.62</v>
      </c>
      <c r="Z46">
        <v>1.9474196690000001</v>
      </c>
      <c r="AA46">
        <v>7.9454722489999998</v>
      </c>
      <c r="AB46">
        <v>6.3345277510000004</v>
      </c>
      <c r="AC46">
        <v>44.35943803</v>
      </c>
      <c r="AD46">
        <v>53.379603469999999</v>
      </c>
      <c r="AE46">
        <v>53.470028689999999</v>
      </c>
      <c r="AF46">
        <v>75.344999999999999</v>
      </c>
      <c r="AG46">
        <v>128.8150287</v>
      </c>
      <c r="AH46">
        <v>75.435425219999999</v>
      </c>
      <c r="AI46">
        <v>58.561043679999997</v>
      </c>
      <c r="AJ46" s="3">
        <v>9.8800000000000008</v>
      </c>
      <c r="AK46">
        <v>98.8</v>
      </c>
      <c r="AL46">
        <v>785.01265820000003</v>
      </c>
      <c r="AM46">
        <v>569.19707960000005</v>
      </c>
      <c r="AN46">
        <v>1230</v>
      </c>
      <c r="AO46">
        <v>1799.1970799999999</v>
      </c>
      <c r="AP46">
        <v>1014.184421</v>
      </c>
      <c r="AQ46">
        <v>56.368723189999997</v>
      </c>
    </row>
    <row r="47" spans="1:43" x14ac:dyDescent="0.35">
      <c r="A47">
        <v>1</v>
      </c>
      <c r="B47">
        <v>264</v>
      </c>
      <c r="C47" t="s">
        <v>34</v>
      </c>
      <c r="D47">
        <v>8</v>
      </c>
      <c r="E47">
        <v>6</v>
      </c>
      <c r="F47">
        <v>408</v>
      </c>
      <c r="G47">
        <v>90.78103342</v>
      </c>
      <c r="H47">
        <v>14.28</v>
      </c>
      <c r="I47" s="1">
        <v>5.9105799999999995</v>
      </c>
      <c r="J47" s="1">
        <v>-4.3643413000000013</v>
      </c>
      <c r="K47" s="3">
        <v>105</v>
      </c>
      <c r="L47" t="s">
        <v>41</v>
      </c>
      <c r="M47">
        <v>2</v>
      </c>
      <c r="N47" s="1">
        <v>5.5</v>
      </c>
      <c r="O47" s="1">
        <f t="shared" si="0"/>
        <v>7.5</v>
      </c>
      <c r="P47" s="1">
        <f t="shared" si="1"/>
        <v>7.5</v>
      </c>
      <c r="Q47" s="1">
        <v>15</v>
      </c>
      <c r="R47">
        <v>50</v>
      </c>
      <c r="S47">
        <v>20</v>
      </c>
      <c r="T47">
        <v>53.95</v>
      </c>
      <c r="U47">
        <v>33.951999999999998</v>
      </c>
      <c r="V47">
        <v>62.932344759999999</v>
      </c>
      <c r="W47" s="3">
        <v>28.26</v>
      </c>
      <c r="Y47" s="3">
        <v>47.65</v>
      </c>
      <c r="Z47">
        <v>2.5183630639999999</v>
      </c>
      <c r="AA47">
        <v>10.274921300000001</v>
      </c>
      <c r="AB47">
        <v>4.0050786990000002</v>
      </c>
      <c r="AC47">
        <v>28.046769600000001</v>
      </c>
      <c r="AM47">
        <v>569.19707960000005</v>
      </c>
      <c r="AN47">
        <v>1230</v>
      </c>
      <c r="AO47">
        <v>1799.1970799999999</v>
      </c>
      <c r="AP47">
        <v>1799.1970799999999</v>
      </c>
    </row>
    <row r="48" spans="1:43" x14ac:dyDescent="0.35">
      <c r="A48">
        <v>1</v>
      </c>
      <c r="B48">
        <v>266</v>
      </c>
      <c r="C48" t="s">
        <v>34</v>
      </c>
      <c r="D48">
        <v>4.5</v>
      </c>
      <c r="E48">
        <v>2</v>
      </c>
      <c r="F48">
        <v>487</v>
      </c>
      <c r="G48">
        <v>103.6684776</v>
      </c>
      <c r="H48">
        <v>17.045000000000002</v>
      </c>
      <c r="I48" s="1">
        <v>15.888999999999902</v>
      </c>
      <c r="J48" s="1">
        <v>6.4662331509999014</v>
      </c>
      <c r="K48" s="3">
        <v>120</v>
      </c>
      <c r="L48" t="s">
        <v>41</v>
      </c>
      <c r="M48">
        <v>2</v>
      </c>
      <c r="N48" s="1">
        <v>6.6</v>
      </c>
      <c r="O48" s="1">
        <f t="shared" si="0"/>
        <v>8.6</v>
      </c>
      <c r="P48" s="1">
        <f t="shared" si="1"/>
        <v>6.4</v>
      </c>
      <c r="Q48" s="1">
        <v>15</v>
      </c>
      <c r="R48">
        <v>42.666666666666664</v>
      </c>
      <c r="S48">
        <v>35</v>
      </c>
      <c r="T48">
        <v>59.9</v>
      </c>
      <c r="U48">
        <v>24.896750000000001</v>
      </c>
      <c r="V48">
        <v>41.563856430000001</v>
      </c>
      <c r="W48" s="3">
        <v>24.2</v>
      </c>
      <c r="Y48" s="3">
        <v>62.02</v>
      </c>
      <c r="Z48">
        <v>1.934859723</v>
      </c>
      <c r="AA48">
        <v>9.4227668490000003</v>
      </c>
      <c r="AB48">
        <v>7.6222331509999997</v>
      </c>
      <c r="AC48">
        <v>44.718293639999999</v>
      </c>
      <c r="AM48">
        <v>650.00135460000001</v>
      </c>
      <c r="AN48">
        <v>1230</v>
      </c>
      <c r="AO48">
        <v>1880.0013550000001</v>
      </c>
      <c r="AP48">
        <v>1880.0013550000001</v>
      </c>
    </row>
    <row r="49" spans="1:43" x14ac:dyDescent="0.35">
      <c r="A49">
        <v>1</v>
      </c>
      <c r="B49">
        <v>267</v>
      </c>
      <c r="C49" t="s">
        <v>34</v>
      </c>
      <c r="D49">
        <v>6.8</v>
      </c>
      <c r="E49">
        <v>5</v>
      </c>
      <c r="F49">
        <v>485</v>
      </c>
      <c r="G49">
        <v>103.349006</v>
      </c>
      <c r="H49">
        <v>16.975000000000001</v>
      </c>
      <c r="I49" s="1">
        <v>10.29227</v>
      </c>
      <c r="J49" s="1">
        <v>2.1954419529999996</v>
      </c>
      <c r="K49" s="3">
        <v>90</v>
      </c>
      <c r="L49" t="s">
        <v>40</v>
      </c>
      <c r="M49">
        <v>4</v>
      </c>
      <c r="N49" s="1">
        <v>5.9</v>
      </c>
      <c r="O49" s="1">
        <f t="shared" si="0"/>
        <v>9.9</v>
      </c>
      <c r="P49" s="1">
        <f t="shared" si="1"/>
        <v>5.0999999999999996</v>
      </c>
      <c r="Q49" s="1">
        <v>15</v>
      </c>
      <c r="R49">
        <v>33.999999999999993</v>
      </c>
      <c r="S49">
        <v>40</v>
      </c>
      <c r="T49">
        <v>59.75</v>
      </c>
      <c r="U49">
        <v>19.74625</v>
      </c>
      <c r="V49">
        <v>33.048117150000003</v>
      </c>
      <c r="W49" s="3">
        <v>30.07</v>
      </c>
      <c r="Y49" s="3">
        <v>71.88</v>
      </c>
      <c r="Z49">
        <v>1.6694490820000001</v>
      </c>
      <c r="AA49">
        <v>8.0968280470000007</v>
      </c>
      <c r="AB49">
        <v>8.8781719530000007</v>
      </c>
      <c r="AC49">
        <v>52.301454810000003</v>
      </c>
      <c r="AM49">
        <v>647.99826759999996</v>
      </c>
      <c r="AN49">
        <v>1230</v>
      </c>
      <c r="AO49">
        <v>1877.9982680000001</v>
      </c>
      <c r="AP49">
        <v>1877.9982680000001</v>
      </c>
    </row>
    <row r="50" spans="1:43" x14ac:dyDescent="0.35">
      <c r="A50">
        <v>1</v>
      </c>
      <c r="B50">
        <v>268</v>
      </c>
      <c r="C50" t="s">
        <v>34</v>
      </c>
      <c r="D50">
        <v>10</v>
      </c>
      <c r="E50">
        <v>6</v>
      </c>
      <c r="F50">
        <v>348</v>
      </c>
      <c r="G50">
        <v>80.572053600000004</v>
      </c>
      <c r="H50">
        <v>12.18</v>
      </c>
      <c r="I50" s="1">
        <v>9.6543999999998995</v>
      </c>
      <c r="J50" s="1">
        <v>2.9610196509998996</v>
      </c>
      <c r="K50" s="3">
        <v>150</v>
      </c>
      <c r="L50" t="s">
        <v>41</v>
      </c>
      <c r="M50">
        <v>1</v>
      </c>
      <c r="N50" s="1">
        <v>4</v>
      </c>
      <c r="O50" s="1">
        <f t="shared" si="0"/>
        <v>5</v>
      </c>
      <c r="P50" s="1">
        <f t="shared" si="1"/>
        <v>15</v>
      </c>
      <c r="Q50" s="1">
        <v>20</v>
      </c>
      <c r="R50">
        <v>75</v>
      </c>
      <c r="S50">
        <v>20</v>
      </c>
      <c r="T50">
        <v>53.09</v>
      </c>
      <c r="U50">
        <v>33.087000000000003</v>
      </c>
      <c r="V50">
        <v>62.322471280000002</v>
      </c>
      <c r="W50" s="3">
        <v>25.99</v>
      </c>
      <c r="X50" s="3">
        <v>5.1271786099999996</v>
      </c>
      <c r="Y50" s="3">
        <v>62.39</v>
      </c>
      <c r="Z50">
        <v>1.9233851580000001</v>
      </c>
      <c r="AA50">
        <v>6.6933803489999999</v>
      </c>
      <c r="AB50">
        <v>5.4866196509999998</v>
      </c>
      <c r="AC50">
        <v>45.04613835</v>
      </c>
      <c r="AD50">
        <v>34.318156559999998</v>
      </c>
      <c r="AE50">
        <v>47.456939570000003</v>
      </c>
      <c r="AF50">
        <v>75.344999999999999</v>
      </c>
      <c r="AG50">
        <v>122.8019396</v>
      </c>
      <c r="AH50">
        <v>88.483783009999996</v>
      </c>
      <c r="AI50">
        <v>72.05405983</v>
      </c>
      <c r="AJ50" s="3">
        <v>9.0299999999999994</v>
      </c>
      <c r="AK50">
        <v>90.3</v>
      </c>
      <c r="AL50">
        <v>604.41224560000001</v>
      </c>
      <c r="AM50">
        <v>505.18677609999997</v>
      </c>
      <c r="AN50">
        <v>1230</v>
      </c>
      <c r="AO50">
        <v>1735.186776</v>
      </c>
      <c r="AP50">
        <v>1130.774531</v>
      </c>
      <c r="AQ50">
        <v>65.16730914</v>
      </c>
    </row>
    <row r="51" spans="1:43" x14ac:dyDescent="0.35">
      <c r="A51">
        <v>1</v>
      </c>
      <c r="B51">
        <v>269</v>
      </c>
      <c r="C51" t="s">
        <v>34</v>
      </c>
      <c r="D51">
        <v>3</v>
      </c>
      <c r="E51">
        <v>1</v>
      </c>
      <c r="F51">
        <v>370</v>
      </c>
      <c r="G51">
        <v>84.362859740000005</v>
      </c>
      <c r="H51">
        <v>12.95</v>
      </c>
      <c r="I51" s="1">
        <v>6.641</v>
      </c>
      <c r="J51" s="1">
        <v>-2.2979973830000002</v>
      </c>
      <c r="K51" s="3">
        <v>120</v>
      </c>
      <c r="L51" t="s">
        <v>41</v>
      </c>
      <c r="M51">
        <v>2</v>
      </c>
      <c r="N51" s="1">
        <v>3</v>
      </c>
      <c r="O51" s="1">
        <f t="shared" si="0"/>
        <v>5</v>
      </c>
      <c r="P51" s="1">
        <f t="shared" si="1"/>
        <v>10</v>
      </c>
      <c r="Q51" s="1">
        <v>15</v>
      </c>
      <c r="R51">
        <v>66.666666666666671</v>
      </c>
      <c r="S51">
        <v>20</v>
      </c>
      <c r="T51">
        <v>51.09</v>
      </c>
      <c r="U51">
        <v>31.092500000000001</v>
      </c>
      <c r="V51">
        <v>60.858289290000002</v>
      </c>
      <c r="W51" s="3">
        <v>33.4</v>
      </c>
      <c r="Y51" s="3">
        <v>49.67</v>
      </c>
      <c r="Z51">
        <v>2.415945239</v>
      </c>
      <c r="AA51">
        <v>8.9389973830000002</v>
      </c>
      <c r="AB51">
        <v>4.0110026169999999</v>
      </c>
      <c r="AC51">
        <v>30.97299318</v>
      </c>
      <c r="AM51">
        <v>528.9551305</v>
      </c>
      <c r="AN51">
        <v>1230</v>
      </c>
      <c r="AO51">
        <v>1758.9551309999999</v>
      </c>
      <c r="AP51">
        <v>1758.9551309999999</v>
      </c>
    </row>
    <row r="52" spans="1:43" x14ac:dyDescent="0.35">
      <c r="A52">
        <v>1</v>
      </c>
      <c r="B52">
        <v>271</v>
      </c>
      <c r="C52" t="s">
        <v>34</v>
      </c>
      <c r="D52">
        <v>3.5</v>
      </c>
      <c r="E52">
        <v>2</v>
      </c>
      <c r="F52">
        <v>378</v>
      </c>
      <c r="G52">
        <v>85.727241599999999</v>
      </c>
      <c r="H52">
        <v>13.23</v>
      </c>
      <c r="I52" s="1">
        <v>17.250749999999897</v>
      </c>
      <c r="J52" s="1">
        <v>10.291560063999897</v>
      </c>
      <c r="K52" s="3">
        <v>180</v>
      </c>
      <c r="L52" t="s">
        <v>41</v>
      </c>
      <c r="M52">
        <v>1</v>
      </c>
      <c r="N52" s="1">
        <v>8</v>
      </c>
      <c r="O52" s="1">
        <f t="shared" si="0"/>
        <v>9</v>
      </c>
      <c r="P52" s="1">
        <f t="shared" si="1"/>
        <v>6</v>
      </c>
      <c r="Q52" s="1">
        <v>15</v>
      </c>
      <c r="R52">
        <v>40</v>
      </c>
      <c r="S52">
        <v>60</v>
      </c>
      <c r="T52">
        <v>51.69</v>
      </c>
      <c r="U52">
        <v>-8.3055000000000003</v>
      </c>
      <c r="V52">
        <v>-16.067904819999999</v>
      </c>
      <c r="W52" s="3">
        <v>27.45</v>
      </c>
      <c r="Y52" s="3">
        <v>65.180000000000007</v>
      </c>
      <c r="Z52">
        <v>1.8410555390000001</v>
      </c>
      <c r="AA52">
        <v>6.9591899359999996</v>
      </c>
      <c r="AB52">
        <v>6.270810064</v>
      </c>
      <c r="AC52">
        <v>47.398413189999999</v>
      </c>
      <c r="AJ52" s="3">
        <v>8.91</v>
      </c>
      <c r="AK52">
        <v>89.1</v>
      </c>
      <c r="AL52">
        <v>620.06382329999997</v>
      </c>
      <c r="AM52">
        <v>537.50980479999998</v>
      </c>
      <c r="AN52">
        <v>1230</v>
      </c>
      <c r="AO52">
        <v>1767.5098049999999</v>
      </c>
      <c r="AP52">
        <v>1147.445982</v>
      </c>
      <c r="AQ52">
        <v>64.918790180000002</v>
      </c>
    </row>
    <row r="53" spans="1:43" x14ac:dyDescent="0.35">
      <c r="A53">
        <v>1</v>
      </c>
      <c r="B53">
        <v>272</v>
      </c>
      <c r="C53" t="s">
        <v>34</v>
      </c>
      <c r="D53">
        <v>6</v>
      </c>
      <c r="E53">
        <v>4</v>
      </c>
      <c r="F53">
        <v>504</v>
      </c>
      <c r="G53">
        <v>106.3709168</v>
      </c>
      <c r="H53">
        <v>17.64</v>
      </c>
      <c r="I53" s="1">
        <v>24.640650000000001</v>
      </c>
      <c r="J53" s="1">
        <v>13.417788620000001</v>
      </c>
      <c r="K53" s="3">
        <v>510</v>
      </c>
      <c r="L53" t="s">
        <v>42</v>
      </c>
      <c r="M53">
        <v>0</v>
      </c>
      <c r="N53" s="1">
        <v>9</v>
      </c>
      <c r="O53" s="1">
        <f t="shared" si="0"/>
        <v>9</v>
      </c>
      <c r="P53" s="1">
        <f t="shared" si="1"/>
        <v>6</v>
      </c>
      <c r="Q53" s="1">
        <v>15</v>
      </c>
      <c r="R53">
        <v>40</v>
      </c>
      <c r="S53">
        <v>40</v>
      </c>
      <c r="T53">
        <v>61.18</v>
      </c>
      <c r="U53">
        <v>21.175999999999998</v>
      </c>
      <c r="V53">
        <v>34.612618500000004</v>
      </c>
      <c r="W53" s="3">
        <v>31.77</v>
      </c>
      <c r="X53" s="3">
        <v>4.6627619600000001</v>
      </c>
      <c r="Y53" s="3">
        <v>53.89</v>
      </c>
      <c r="Z53">
        <v>2.2267582109999999</v>
      </c>
      <c r="AA53">
        <v>11.222861379999999</v>
      </c>
      <c r="AB53">
        <v>6.4171386159999999</v>
      </c>
      <c r="AC53">
        <v>36.378336820000001</v>
      </c>
      <c r="AD53">
        <v>52.329531150000001</v>
      </c>
      <c r="AE53">
        <v>62.65246999</v>
      </c>
      <c r="AF53">
        <v>75.344999999999999</v>
      </c>
      <c r="AG53">
        <v>137.99746999999999</v>
      </c>
      <c r="AH53">
        <v>85.667938840000005</v>
      </c>
      <c r="AI53">
        <v>62.079354680000002</v>
      </c>
      <c r="AJ53" s="3">
        <v>7.18</v>
      </c>
      <c r="AK53">
        <v>71.8</v>
      </c>
      <c r="AL53">
        <v>805.80144740000003</v>
      </c>
      <c r="AM53">
        <v>666.94564820000005</v>
      </c>
      <c r="AN53">
        <v>1230</v>
      </c>
      <c r="AO53">
        <v>1896.9456479999999</v>
      </c>
      <c r="AP53">
        <v>1091.1442010000001</v>
      </c>
      <c r="AQ53">
        <v>57.521110419999999</v>
      </c>
    </row>
    <row r="54" spans="1:43" x14ac:dyDescent="0.35">
      <c r="A54">
        <v>1</v>
      </c>
      <c r="B54">
        <v>273</v>
      </c>
      <c r="C54" t="s">
        <v>35</v>
      </c>
      <c r="D54">
        <v>9</v>
      </c>
      <c r="E54">
        <v>5</v>
      </c>
      <c r="F54">
        <v>438</v>
      </c>
      <c r="G54">
        <v>95.742680640000003</v>
      </c>
      <c r="H54">
        <v>15.33</v>
      </c>
      <c r="I54" s="1">
        <v>20.464739999999999</v>
      </c>
      <c r="J54" s="1">
        <v>10.124389809999998</v>
      </c>
      <c r="K54" s="3">
        <v>270</v>
      </c>
      <c r="L54" t="s">
        <v>42</v>
      </c>
      <c r="M54">
        <v>0</v>
      </c>
      <c r="N54" s="1">
        <v>4.5999999999999996</v>
      </c>
      <c r="O54" s="1">
        <f t="shared" si="0"/>
        <v>4.5999999999999996</v>
      </c>
      <c r="P54" s="1">
        <f t="shared" si="1"/>
        <v>10.4</v>
      </c>
      <c r="Q54" s="1">
        <v>15</v>
      </c>
      <c r="R54">
        <v>69.333333333333329</v>
      </c>
      <c r="S54">
        <v>20</v>
      </c>
      <c r="T54">
        <v>56.21</v>
      </c>
      <c r="U54">
        <v>36.209499999999998</v>
      </c>
      <c r="V54">
        <v>64.418252980000005</v>
      </c>
      <c r="W54" s="3">
        <v>24.19</v>
      </c>
      <c r="X54" s="3">
        <v>6.5113812500000003</v>
      </c>
      <c r="Y54" s="3">
        <v>50.83</v>
      </c>
      <c r="Z54">
        <v>2.3608105450000001</v>
      </c>
      <c r="AA54">
        <v>10.340350190000001</v>
      </c>
      <c r="AB54">
        <v>4.9896498129999998</v>
      </c>
      <c r="AC54">
        <v>32.54827014</v>
      </c>
      <c r="AD54">
        <v>67.329962330000001</v>
      </c>
      <c r="AE54">
        <v>56.392438900000002</v>
      </c>
      <c r="AF54">
        <v>75.344999999999999</v>
      </c>
      <c r="AG54">
        <v>131.7374389</v>
      </c>
      <c r="AH54">
        <v>64.40747657</v>
      </c>
      <c r="AI54">
        <v>48.890791499999999</v>
      </c>
      <c r="AJ54" s="3">
        <v>9.25</v>
      </c>
      <c r="AK54">
        <v>92.5</v>
      </c>
      <c r="AL54">
        <v>956.48239230000001</v>
      </c>
      <c r="AM54">
        <v>600.30660760000001</v>
      </c>
      <c r="AN54">
        <v>1230</v>
      </c>
      <c r="AO54">
        <v>1830.3066080000001</v>
      </c>
      <c r="AP54">
        <v>873.82421539999996</v>
      </c>
      <c r="AQ54">
        <v>47.741958189999998</v>
      </c>
    </row>
    <row r="55" spans="1:43" x14ac:dyDescent="0.35">
      <c r="A55">
        <v>1</v>
      </c>
      <c r="B55">
        <v>275</v>
      </c>
      <c r="C55" t="s">
        <v>35</v>
      </c>
      <c r="D55">
        <v>6</v>
      </c>
      <c r="E55">
        <v>2</v>
      </c>
      <c r="F55">
        <v>466</v>
      </c>
      <c r="G55">
        <v>100.2973452</v>
      </c>
      <c r="H55">
        <v>16.309999999999999</v>
      </c>
      <c r="I55" s="1">
        <v>14.912739999999999</v>
      </c>
      <c r="J55" s="1">
        <v>7.4358045809999993</v>
      </c>
      <c r="K55" s="3">
        <v>120</v>
      </c>
      <c r="L55" t="s">
        <v>41</v>
      </c>
      <c r="M55">
        <v>2</v>
      </c>
      <c r="N55" s="1">
        <v>9</v>
      </c>
      <c r="O55" s="1">
        <f t="shared" si="0"/>
        <v>11</v>
      </c>
      <c r="P55" s="1">
        <f t="shared" si="1"/>
        <v>14</v>
      </c>
      <c r="Q55" s="1">
        <v>25</v>
      </c>
      <c r="R55">
        <v>56</v>
      </c>
      <c r="S55">
        <v>40</v>
      </c>
      <c r="T55">
        <v>65.62</v>
      </c>
      <c r="U55">
        <v>25.616499999999998</v>
      </c>
      <c r="V55">
        <v>39.037640959999997</v>
      </c>
      <c r="W55" s="3">
        <v>19.07</v>
      </c>
      <c r="X55" s="3">
        <v>3.0307280400000001</v>
      </c>
      <c r="Y55" s="3">
        <v>74.790000000000006</v>
      </c>
      <c r="Z55">
        <v>1.604492579</v>
      </c>
      <c r="AA55">
        <v>7.4769354190000001</v>
      </c>
      <c r="AB55">
        <v>8.8330645810000004</v>
      </c>
      <c r="AC55">
        <v>54.15735488</v>
      </c>
      <c r="AD55">
        <v>22.660557829999998</v>
      </c>
      <c r="AE55">
        <v>59.075136299999997</v>
      </c>
      <c r="AF55">
        <v>125.575</v>
      </c>
      <c r="AG55">
        <v>184.65013630000001</v>
      </c>
      <c r="AH55">
        <v>161.98957849999999</v>
      </c>
      <c r="AI55">
        <v>87.727841269999999</v>
      </c>
      <c r="AJ55" s="3">
        <v>5.74</v>
      </c>
      <c r="AK55">
        <v>57.4</v>
      </c>
      <c r="AL55">
        <v>429.1760931</v>
      </c>
      <c r="AM55">
        <v>628.86435410000001</v>
      </c>
      <c r="AN55">
        <v>2050</v>
      </c>
      <c r="AO55">
        <v>2678.8643539999998</v>
      </c>
      <c r="AP55">
        <v>2249.6882609999998</v>
      </c>
      <c r="AQ55">
        <v>83.979177879999995</v>
      </c>
    </row>
    <row r="56" spans="1:43" x14ac:dyDescent="0.35">
      <c r="A56">
        <v>1</v>
      </c>
      <c r="B56">
        <v>276</v>
      </c>
      <c r="C56" t="s">
        <v>35</v>
      </c>
      <c r="D56">
        <v>6</v>
      </c>
      <c r="E56">
        <v>3</v>
      </c>
      <c r="F56">
        <v>438</v>
      </c>
      <c r="G56">
        <v>95.742680640000003</v>
      </c>
      <c r="H56">
        <v>15.33</v>
      </c>
      <c r="I56" s="1">
        <v>34.167000000000002</v>
      </c>
      <c r="J56" s="1">
        <v>26.456863576000003</v>
      </c>
      <c r="K56" s="3">
        <v>15</v>
      </c>
      <c r="L56" t="s">
        <v>40</v>
      </c>
      <c r="M56">
        <v>6</v>
      </c>
      <c r="N56" s="1">
        <v>5</v>
      </c>
      <c r="O56" s="1">
        <f t="shared" si="0"/>
        <v>11</v>
      </c>
      <c r="P56" s="1">
        <f t="shared" si="1"/>
        <v>14</v>
      </c>
      <c r="Q56" s="1">
        <v>25</v>
      </c>
      <c r="R56">
        <v>56</v>
      </c>
      <c r="S56">
        <v>40</v>
      </c>
      <c r="T56">
        <v>63.51</v>
      </c>
      <c r="U56">
        <v>23.509499999999999</v>
      </c>
      <c r="V56">
        <v>37.0170052</v>
      </c>
      <c r="W56" s="3">
        <v>43.4</v>
      </c>
      <c r="X56" s="3">
        <v>4.3237811600000002</v>
      </c>
      <c r="Y56" s="3">
        <v>68.17</v>
      </c>
      <c r="Z56">
        <v>1.7603051199999999</v>
      </c>
      <c r="AA56">
        <v>7.7101364239999999</v>
      </c>
      <c r="AB56">
        <v>7.6198635760000002</v>
      </c>
      <c r="AC56">
        <v>49.70556801</v>
      </c>
      <c r="AD56">
        <v>33.336942610000001</v>
      </c>
      <c r="AE56">
        <v>56.392438900000002</v>
      </c>
      <c r="AF56">
        <v>125.575</v>
      </c>
      <c r="AG56">
        <v>181.96743889999999</v>
      </c>
      <c r="AH56">
        <v>148.6304963</v>
      </c>
      <c r="AI56">
        <v>81.679720939999996</v>
      </c>
      <c r="AJ56" s="3">
        <v>4.9800000000000004</v>
      </c>
      <c r="AK56">
        <v>49.8</v>
      </c>
      <c r="AL56">
        <v>383.96479390000002</v>
      </c>
      <c r="AM56">
        <v>600.30660760000001</v>
      </c>
      <c r="AN56">
        <v>2050</v>
      </c>
      <c r="AO56">
        <v>2650.3066079999999</v>
      </c>
      <c r="AP56">
        <v>2266.3418139999999</v>
      </c>
      <c r="AQ56">
        <v>85.512438720000006</v>
      </c>
    </row>
    <row r="57" spans="1:43" x14ac:dyDescent="0.35">
      <c r="A57">
        <v>1</v>
      </c>
      <c r="B57">
        <v>277</v>
      </c>
      <c r="C57" t="s">
        <v>34</v>
      </c>
      <c r="D57">
        <v>4</v>
      </c>
      <c r="E57">
        <v>2</v>
      </c>
      <c r="F57">
        <v>320</v>
      </c>
      <c r="G57">
        <v>75.659328720000005</v>
      </c>
      <c r="H57">
        <v>11.2</v>
      </c>
      <c r="I57" s="1">
        <v>29.008500000000002</v>
      </c>
      <c r="J57" s="1">
        <v>21.820181018</v>
      </c>
      <c r="K57" s="3">
        <v>48</v>
      </c>
      <c r="L57" t="s">
        <v>40</v>
      </c>
      <c r="M57">
        <v>6</v>
      </c>
      <c r="N57" s="1">
        <v>4.5</v>
      </c>
      <c r="O57" s="1">
        <f t="shared" si="0"/>
        <v>10.5</v>
      </c>
      <c r="P57" s="1">
        <f t="shared" si="1"/>
        <v>4.5</v>
      </c>
      <c r="Q57" s="1">
        <v>15</v>
      </c>
      <c r="R57">
        <v>30</v>
      </c>
      <c r="S57">
        <v>55</v>
      </c>
      <c r="T57">
        <v>47.33</v>
      </c>
      <c r="U57">
        <v>-7.67</v>
      </c>
      <c r="V57">
        <v>-16.20536658</v>
      </c>
      <c r="W57" s="3">
        <v>34.950000000000003</v>
      </c>
      <c r="X57" s="3">
        <v>3.4566118399999999</v>
      </c>
      <c r="Y57" s="3">
        <v>53.42</v>
      </c>
      <c r="Z57">
        <v>2.246349682</v>
      </c>
      <c r="AA57">
        <v>7.1883189820000002</v>
      </c>
      <c r="AB57">
        <v>4.011681018</v>
      </c>
      <c r="AC57">
        <v>35.818580519999998</v>
      </c>
      <c r="AD57">
        <v>24.8472285</v>
      </c>
      <c r="AE57">
        <v>44.563344620000002</v>
      </c>
      <c r="AF57">
        <v>75.344999999999999</v>
      </c>
      <c r="AG57">
        <v>119.90834460000001</v>
      </c>
      <c r="AH57">
        <v>95.06111611</v>
      </c>
      <c r="AI57">
        <v>79.278149010000007</v>
      </c>
      <c r="AJ57" s="3">
        <v>7.36</v>
      </c>
      <c r="AK57">
        <v>73.599999999999994</v>
      </c>
      <c r="AL57">
        <v>529.06027700000004</v>
      </c>
      <c r="AM57">
        <v>474.3839911</v>
      </c>
      <c r="AN57">
        <v>1230</v>
      </c>
      <c r="AO57">
        <v>1704.3839909999999</v>
      </c>
      <c r="AP57">
        <v>1175.3237140000001</v>
      </c>
      <c r="AQ57">
        <v>68.958856699999998</v>
      </c>
    </row>
    <row r="58" spans="1:43" x14ac:dyDescent="0.35">
      <c r="A58">
        <v>1</v>
      </c>
      <c r="B58">
        <v>278</v>
      </c>
      <c r="C58" t="s">
        <v>34</v>
      </c>
      <c r="D58">
        <v>8</v>
      </c>
      <c r="E58">
        <v>5</v>
      </c>
      <c r="F58">
        <v>504</v>
      </c>
      <c r="G58">
        <v>106.3709168</v>
      </c>
      <c r="H58">
        <v>17.64</v>
      </c>
      <c r="I58" s="1">
        <v>17.758759999999999</v>
      </c>
      <c r="J58" s="1">
        <v>6.8575343299999982</v>
      </c>
      <c r="K58" s="3">
        <v>15</v>
      </c>
      <c r="L58" t="s">
        <v>40</v>
      </c>
      <c r="M58">
        <v>6</v>
      </c>
      <c r="N58" s="1">
        <v>7</v>
      </c>
      <c r="O58" s="1">
        <f t="shared" si="0"/>
        <v>13</v>
      </c>
      <c r="P58" s="1">
        <f t="shared" si="1"/>
        <v>2</v>
      </c>
      <c r="Q58" s="1">
        <v>15</v>
      </c>
      <c r="R58">
        <v>13.333333333333334</v>
      </c>
      <c r="S58">
        <v>20</v>
      </c>
      <c r="T58">
        <v>61.18</v>
      </c>
      <c r="U58">
        <v>41.176000000000002</v>
      </c>
      <c r="V58">
        <v>67.303040210000006</v>
      </c>
      <c r="W58" s="3">
        <v>23.06</v>
      </c>
      <c r="X58" s="3">
        <v>5.6831321600000004</v>
      </c>
      <c r="Y58" s="3">
        <v>55.48</v>
      </c>
      <c r="Z58">
        <v>2.162941601</v>
      </c>
      <c r="AA58">
        <v>10.901225670000001</v>
      </c>
      <c r="AB58">
        <v>6.7387743330000003</v>
      </c>
      <c r="AC58">
        <v>38.201668550000001</v>
      </c>
      <c r="AD58">
        <v>61.953106169999998</v>
      </c>
      <c r="AE58">
        <v>62.65246999</v>
      </c>
      <c r="AF58">
        <v>75.344999999999999</v>
      </c>
      <c r="AG58">
        <v>137.99746999999999</v>
      </c>
      <c r="AH58">
        <v>76.044363820000001</v>
      </c>
      <c r="AI58">
        <v>55.105621739999997</v>
      </c>
      <c r="AJ58" s="3">
        <v>6.48</v>
      </c>
      <c r="AK58">
        <v>64.8</v>
      </c>
      <c r="AL58">
        <v>706.3994232</v>
      </c>
      <c r="AM58">
        <v>666.94564820000005</v>
      </c>
      <c r="AN58">
        <v>1230</v>
      </c>
      <c r="AO58">
        <v>1896.9456479999999</v>
      </c>
      <c r="AP58">
        <v>1190.546225</v>
      </c>
      <c r="AQ58">
        <v>62.761219650000001</v>
      </c>
    </row>
    <row r="59" spans="1:43" x14ac:dyDescent="0.35">
      <c r="A59">
        <v>1</v>
      </c>
      <c r="B59">
        <v>279</v>
      </c>
      <c r="C59" t="s">
        <v>35</v>
      </c>
      <c r="D59">
        <v>5</v>
      </c>
      <c r="E59">
        <v>1</v>
      </c>
      <c r="F59">
        <v>587</v>
      </c>
      <c r="G59">
        <v>119.2555435</v>
      </c>
      <c r="H59">
        <v>20.545000000000002</v>
      </c>
      <c r="I59" s="1">
        <v>13.92184</v>
      </c>
      <c r="J59" s="1">
        <v>0.43275535999999981</v>
      </c>
      <c r="K59" s="3">
        <v>120</v>
      </c>
      <c r="L59" t="s">
        <v>41</v>
      </c>
      <c r="M59">
        <v>2</v>
      </c>
      <c r="N59" s="1">
        <v>9.1</v>
      </c>
      <c r="O59" s="1">
        <f t="shared" si="0"/>
        <v>11.1</v>
      </c>
      <c r="P59" s="1">
        <f t="shared" si="1"/>
        <v>13.9</v>
      </c>
      <c r="Q59" s="1">
        <v>25</v>
      </c>
      <c r="R59">
        <v>55.6</v>
      </c>
      <c r="S59">
        <v>80</v>
      </c>
      <c r="T59">
        <v>74.72</v>
      </c>
      <c r="U59">
        <v>-5.2782499999999999</v>
      </c>
      <c r="V59">
        <v>-7.0640390789999996</v>
      </c>
      <c r="W59" s="3">
        <v>17.23</v>
      </c>
      <c r="X59" s="3">
        <v>3.8317090899999999</v>
      </c>
      <c r="Y59" s="3">
        <v>52.22</v>
      </c>
      <c r="Z59">
        <v>2.2979701260000001</v>
      </c>
      <c r="AA59">
        <v>13.48908464</v>
      </c>
      <c r="AB59">
        <v>7.055915358</v>
      </c>
      <c r="AC59">
        <v>34.34371067</v>
      </c>
      <c r="AD59">
        <v>51.686248239999998</v>
      </c>
      <c r="AE59">
        <v>70.241515109999995</v>
      </c>
      <c r="AF59">
        <v>85.391000000000005</v>
      </c>
      <c r="AG59">
        <v>155.63251510000001</v>
      </c>
      <c r="AH59">
        <v>103.9462669</v>
      </c>
      <c r="AI59">
        <v>66.789556669999996</v>
      </c>
      <c r="AJ59" s="3">
        <v>11.89</v>
      </c>
      <c r="AK59">
        <v>118.9</v>
      </c>
      <c r="AL59">
        <v>1603.8521639999999</v>
      </c>
      <c r="AM59">
        <v>747.73225760000003</v>
      </c>
      <c r="AN59">
        <v>1394</v>
      </c>
      <c r="AO59">
        <v>2141.732258</v>
      </c>
      <c r="AP59">
        <v>537.88009369999997</v>
      </c>
      <c r="AQ59">
        <v>25.114254679999998</v>
      </c>
    </row>
    <row r="60" spans="1:43" x14ac:dyDescent="0.35">
      <c r="A60">
        <v>1</v>
      </c>
      <c r="B60">
        <v>282</v>
      </c>
      <c r="C60" t="s">
        <v>34</v>
      </c>
      <c r="D60">
        <v>4</v>
      </c>
      <c r="E60">
        <v>1</v>
      </c>
      <c r="F60">
        <v>300</v>
      </c>
      <c r="G60">
        <v>72.084342419999999</v>
      </c>
      <c r="H60">
        <v>10.5</v>
      </c>
      <c r="I60" s="1">
        <v>11.128</v>
      </c>
      <c r="J60" s="1">
        <v>4.5646453970000005</v>
      </c>
      <c r="K60" s="3">
        <v>120</v>
      </c>
      <c r="L60" t="s">
        <v>41</v>
      </c>
      <c r="M60">
        <v>2</v>
      </c>
      <c r="N60" s="1">
        <v>5</v>
      </c>
      <c r="O60" s="1">
        <f t="shared" si="0"/>
        <v>7</v>
      </c>
      <c r="P60" s="1">
        <f t="shared" si="1"/>
        <v>8</v>
      </c>
      <c r="Q60" s="1">
        <v>15</v>
      </c>
      <c r="R60">
        <v>53.333333333333336</v>
      </c>
      <c r="S60">
        <v>20</v>
      </c>
      <c r="T60">
        <v>45.82</v>
      </c>
      <c r="U60">
        <v>25.824999999999999</v>
      </c>
      <c r="V60">
        <v>56.36185072</v>
      </c>
      <c r="W60" s="3">
        <v>13.91</v>
      </c>
      <c r="Y60" s="3">
        <v>54.85</v>
      </c>
      <c r="Z60">
        <v>2.187784868</v>
      </c>
      <c r="AA60">
        <v>6.5633546029999996</v>
      </c>
      <c r="AB60">
        <v>3.9366453969999999</v>
      </c>
      <c r="AC60">
        <v>37.491860920000001</v>
      </c>
      <c r="AJ60" s="3">
        <v>3.95</v>
      </c>
      <c r="AK60">
        <v>39.5</v>
      </c>
      <c r="AL60">
        <v>259.25250679999999</v>
      </c>
      <c r="AM60">
        <v>451.96882699999998</v>
      </c>
      <c r="AN60">
        <v>1230</v>
      </c>
      <c r="AO60">
        <v>1681.9688269999999</v>
      </c>
      <c r="AP60">
        <v>1422.71632</v>
      </c>
      <c r="AQ60">
        <v>84.586366720000001</v>
      </c>
    </row>
    <row r="61" spans="1:43" x14ac:dyDescent="0.35">
      <c r="A61">
        <v>1</v>
      </c>
      <c r="B61">
        <v>283</v>
      </c>
      <c r="C61" t="s">
        <v>35</v>
      </c>
      <c r="D61">
        <v>6</v>
      </c>
      <c r="E61">
        <v>2</v>
      </c>
      <c r="F61">
        <v>587</v>
      </c>
      <c r="G61">
        <v>119.2555435</v>
      </c>
      <c r="H61">
        <v>20.545000000000002</v>
      </c>
      <c r="I61" s="1">
        <v>9.8091999999999988</v>
      </c>
      <c r="J61" s="1">
        <v>-4.2282651300000005</v>
      </c>
      <c r="K61" s="3">
        <v>60</v>
      </c>
      <c r="L61" t="s">
        <v>40</v>
      </c>
      <c r="M61">
        <v>6</v>
      </c>
      <c r="N61" s="1">
        <v>12</v>
      </c>
      <c r="O61" s="1">
        <f t="shared" si="0"/>
        <v>18</v>
      </c>
      <c r="P61" s="1">
        <f t="shared" si="1"/>
        <v>-3</v>
      </c>
      <c r="Q61" s="1">
        <v>15</v>
      </c>
      <c r="R61">
        <v>-20</v>
      </c>
      <c r="S61">
        <v>45</v>
      </c>
      <c r="T61">
        <v>67.42</v>
      </c>
      <c r="U61">
        <v>22.421749999999999</v>
      </c>
      <c r="V61">
        <v>33.256822900000003</v>
      </c>
      <c r="W61" s="3">
        <v>16.98</v>
      </c>
      <c r="Y61" s="3">
        <v>50.18</v>
      </c>
      <c r="Z61">
        <v>2.3913909919999998</v>
      </c>
      <c r="AA61">
        <v>14.037465129999999</v>
      </c>
      <c r="AB61">
        <v>6.5075348740000001</v>
      </c>
      <c r="AC61">
        <v>31.674543069999999</v>
      </c>
      <c r="AM61">
        <v>747.73225760000003</v>
      </c>
      <c r="AN61">
        <v>1230</v>
      </c>
      <c r="AO61">
        <v>1977.732258</v>
      </c>
      <c r="AP61">
        <v>1977.732258</v>
      </c>
    </row>
    <row r="62" spans="1:43" x14ac:dyDescent="0.35">
      <c r="A62">
        <v>1</v>
      </c>
      <c r="B62">
        <v>284</v>
      </c>
      <c r="C62" t="s">
        <v>34</v>
      </c>
      <c r="D62">
        <v>5</v>
      </c>
      <c r="E62">
        <v>2</v>
      </c>
      <c r="F62">
        <v>378</v>
      </c>
      <c r="G62">
        <v>85.727241599999999</v>
      </c>
      <c r="H62">
        <v>13.23</v>
      </c>
      <c r="I62" s="1">
        <v>12.646930000000001</v>
      </c>
      <c r="J62" s="1">
        <v>5.1245419400000012</v>
      </c>
      <c r="K62" s="3">
        <v>1</v>
      </c>
      <c r="L62" t="s">
        <v>40</v>
      </c>
      <c r="M62">
        <v>6</v>
      </c>
      <c r="N62" s="1">
        <v>3.5</v>
      </c>
      <c r="O62" s="1">
        <f t="shared" si="0"/>
        <v>9.5</v>
      </c>
      <c r="P62" s="1">
        <f t="shared" si="1"/>
        <v>5.5</v>
      </c>
      <c r="Q62" s="1">
        <v>15</v>
      </c>
      <c r="R62">
        <v>36.666666666666664</v>
      </c>
      <c r="S62">
        <v>20</v>
      </c>
      <c r="T62">
        <v>51.69</v>
      </c>
      <c r="U62">
        <v>31.694500000000001</v>
      </c>
      <c r="V62">
        <v>61.316502219999997</v>
      </c>
      <c r="W62" s="3">
        <v>17.03</v>
      </c>
      <c r="Y62" s="3">
        <v>60.3</v>
      </c>
      <c r="Z62">
        <v>1.9900497509999999</v>
      </c>
      <c r="AA62">
        <v>7.5223880599999999</v>
      </c>
      <c r="AB62">
        <v>5.7076119399999996</v>
      </c>
      <c r="AC62">
        <v>43.141435680000001</v>
      </c>
      <c r="AM62">
        <v>537.50980479999998</v>
      </c>
      <c r="AN62">
        <v>1230</v>
      </c>
      <c r="AO62">
        <v>1767.5098049999999</v>
      </c>
      <c r="AP62">
        <v>1767.5098049999999</v>
      </c>
    </row>
    <row r="63" spans="1:43" x14ac:dyDescent="0.35">
      <c r="A63">
        <v>1</v>
      </c>
      <c r="B63">
        <v>285</v>
      </c>
      <c r="C63" t="s">
        <v>34</v>
      </c>
      <c r="D63">
        <v>6</v>
      </c>
      <c r="E63">
        <v>3</v>
      </c>
      <c r="F63">
        <v>356</v>
      </c>
      <c r="G63">
        <v>81.957272810000006</v>
      </c>
      <c r="H63">
        <v>12.46</v>
      </c>
      <c r="I63" s="1">
        <v>37.28396</v>
      </c>
      <c r="J63" s="1">
        <v>29.895513096000002</v>
      </c>
      <c r="K63" s="3">
        <v>45</v>
      </c>
      <c r="L63" t="s">
        <v>40</v>
      </c>
      <c r="M63">
        <v>6</v>
      </c>
      <c r="N63" s="1">
        <v>4</v>
      </c>
      <c r="O63" s="1">
        <f t="shared" si="0"/>
        <v>10</v>
      </c>
      <c r="P63" s="1">
        <f t="shared" si="1"/>
        <v>5</v>
      </c>
      <c r="Q63" s="1">
        <v>15</v>
      </c>
      <c r="R63">
        <v>33.333333333333336</v>
      </c>
      <c r="S63">
        <v>20</v>
      </c>
      <c r="T63">
        <v>50.04</v>
      </c>
      <c r="U63">
        <v>30.039000000000001</v>
      </c>
      <c r="V63">
        <v>60.029976019999999</v>
      </c>
      <c r="W63" s="3">
        <v>46.73</v>
      </c>
      <c r="X63" s="3">
        <v>6.0901866099999999</v>
      </c>
      <c r="Y63" s="3">
        <v>57.82</v>
      </c>
      <c r="Z63">
        <v>2.075406434</v>
      </c>
      <c r="AA63">
        <v>7.3884469040000003</v>
      </c>
      <c r="AB63">
        <v>5.0715530959999997</v>
      </c>
      <c r="AC63">
        <v>40.702673320000002</v>
      </c>
      <c r="AD63">
        <v>44.997020399999997</v>
      </c>
      <c r="AE63">
        <v>48.272833679999998</v>
      </c>
      <c r="AF63">
        <v>75.344999999999999</v>
      </c>
      <c r="AG63">
        <v>123.61783370000001</v>
      </c>
      <c r="AH63">
        <v>78.620813279999993</v>
      </c>
      <c r="AI63">
        <v>63.599895689999997</v>
      </c>
      <c r="AJ63" s="3">
        <v>6.47</v>
      </c>
      <c r="AK63">
        <v>64.7</v>
      </c>
      <c r="AL63">
        <v>478.03251469999998</v>
      </c>
      <c r="AM63">
        <v>513.87210049999999</v>
      </c>
      <c r="AN63">
        <v>1230</v>
      </c>
      <c r="AO63">
        <v>1743.8721009999999</v>
      </c>
      <c r="AP63">
        <v>1265.8395860000001</v>
      </c>
      <c r="AQ63">
        <v>72.587868420000007</v>
      </c>
    </row>
    <row r="64" spans="1:43" x14ac:dyDescent="0.35">
      <c r="A64">
        <v>1</v>
      </c>
      <c r="B64">
        <v>286</v>
      </c>
      <c r="C64" t="s">
        <v>34</v>
      </c>
      <c r="D64">
        <v>5</v>
      </c>
      <c r="E64">
        <v>2</v>
      </c>
      <c r="F64">
        <v>556</v>
      </c>
      <c r="G64">
        <v>114.50015999999999</v>
      </c>
      <c r="H64">
        <v>19.46</v>
      </c>
      <c r="I64" s="1">
        <v>17.281099999999999</v>
      </c>
      <c r="J64" s="1">
        <v>4.5507050399999986</v>
      </c>
      <c r="K64" s="3">
        <v>45</v>
      </c>
      <c r="L64" t="s">
        <v>40</v>
      </c>
      <c r="M64">
        <v>6</v>
      </c>
      <c r="N64" s="1">
        <v>5</v>
      </c>
      <c r="O64" s="1">
        <f t="shared" si="0"/>
        <v>11</v>
      </c>
      <c r="P64" s="1">
        <f t="shared" si="1"/>
        <v>4</v>
      </c>
      <c r="Q64" s="1">
        <v>15</v>
      </c>
      <c r="R64">
        <v>26.666666666666668</v>
      </c>
      <c r="S64">
        <v>60</v>
      </c>
      <c r="T64">
        <v>65.09</v>
      </c>
      <c r="U64">
        <v>5.0890000000000004</v>
      </c>
      <c r="V64">
        <v>7.8184052849999999</v>
      </c>
      <c r="W64" s="3">
        <v>29.17</v>
      </c>
      <c r="X64" s="3">
        <v>3.78481764</v>
      </c>
      <c r="Y64" s="3">
        <v>52.41</v>
      </c>
      <c r="Z64">
        <v>2.2896393819999998</v>
      </c>
      <c r="AA64">
        <v>12.73039496</v>
      </c>
      <c r="AB64">
        <v>6.7296050369999998</v>
      </c>
      <c r="AC64">
        <v>34.581731949999998</v>
      </c>
      <c r="AD64">
        <v>48.18222342</v>
      </c>
      <c r="AE64">
        <v>67.440594259999997</v>
      </c>
      <c r="AF64">
        <v>75.344999999999999</v>
      </c>
      <c r="AG64">
        <v>142.78559430000001</v>
      </c>
      <c r="AH64">
        <v>94.603370839999997</v>
      </c>
      <c r="AI64">
        <v>66.255543029999998</v>
      </c>
      <c r="AJ64" s="3">
        <v>6.54</v>
      </c>
      <c r="AK64">
        <v>65.400000000000006</v>
      </c>
      <c r="AL64">
        <v>832.56783059999998</v>
      </c>
      <c r="AM64">
        <v>717.91600340000002</v>
      </c>
      <c r="AN64">
        <v>1230</v>
      </c>
      <c r="AO64">
        <v>1947.916003</v>
      </c>
      <c r="AP64">
        <v>1115.3481730000001</v>
      </c>
      <c r="AQ64">
        <v>57.25853532</v>
      </c>
    </row>
    <row r="65" spans="1:43" x14ac:dyDescent="0.35">
      <c r="A65">
        <v>1</v>
      </c>
      <c r="B65">
        <v>287</v>
      </c>
      <c r="C65" t="s">
        <v>35</v>
      </c>
      <c r="D65">
        <v>3</v>
      </c>
      <c r="E65">
        <v>1</v>
      </c>
      <c r="F65">
        <v>475</v>
      </c>
      <c r="G65">
        <v>101.7466707</v>
      </c>
      <c r="H65">
        <v>16.625</v>
      </c>
      <c r="I65" s="1">
        <v>20.127500000000001</v>
      </c>
      <c r="J65" s="1">
        <v>10.841087488000001</v>
      </c>
      <c r="K65" s="3">
        <v>300</v>
      </c>
      <c r="L65" t="s">
        <v>42</v>
      </c>
      <c r="M65">
        <v>0</v>
      </c>
      <c r="N65" s="1">
        <v>4.5</v>
      </c>
      <c r="O65" s="1">
        <f t="shared" si="0"/>
        <v>4.5</v>
      </c>
      <c r="P65" s="1">
        <f t="shared" si="1"/>
        <v>10.5</v>
      </c>
      <c r="Q65" s="1">
        <v>15</v>
      </c>
      <c r="R65">
        <v>70</v>
      </c>
      <c r="S65">
        <v>80</v>
      </c>
      <c r="T65">
        <v>58.99</v>
      </c>
      <c r="U65">
        <v>-21.006250000000001</v>
      </c>
      <c r="V65">
        <v>-35.609849130000001</v>
      </c>
      <c r="W65" s="3">
        <v>24.25</v>
      </c>
      <c r="X65" s="3">
        <v>3.49846244</v>
      </c>
      <c r="Y65" s="3">
        <v>61.38</v>
      </c>
      <c r="Z65">
        <v>1.955034213</v>
      </c>
      <c r="AA65">
        <v>9.2864125120000001</v>
      </c>
      <c r="AB65">
        <v>7.3385874879999999</v>
      </c>
      <c r="AC65">
        <v>44.141879629999998</v>
      </c>
      <c r="AD65">
        <v>32.488165379999998</v>
      </c>
      <c r="AE65">
        <v>59.928789020000004</v>
      </c>
      <c r="AF65">
        <v>75.344999999999999</v>
      </c>
      <c r="AG65">
        <v>135.27378899999999</v>
      </c>
      <c r="AH65">
        <v>102.78562359999999</v>
      </c>
      <c r="AI65">
        <v>75.983399579999997</v>
      </c>
      <c r="AJ65" s="3">
        <v>9.06</v>
      </c>
      <c r="AK65">
        <v>90.6</v>
      </c>
      <c r="AL65">
        <v>841.34897360000002</v>
      </c>
      <c r="AM65">
        <v>637.9516251</v>
      </c>
      <c r="AN65">
        <v>1230</v>
      </c>
      <c r="AO65">
        <v>1867.9516249999999</v>
      </c>
      <c r="AP65">
        <v>1026.6026509999999</v>
      </c>
      <c r="AQ65">
        <v>54.95873864</v>
      </c>
    </row>
    <row r="66" spans="1:43" x14ac:dyDescent="0.35">
      <c r="A66">
        <v>1</v>
      </c>
      <c r="B66">
        <v>288</v>
      </c>
      <c r="C66" t="s">
        <v>34</v>
      </c>
      <c r="D66">
        <v>8</v>
      </c>
      <c r="E66">
        <v>4</v>
      </c>
      <c r="F66">
        <v>447</v>
      </c>
      <c r="G66">
        <v>97.214409459999999</v>
      </c>
      <c r="H66">
        <v>15.645</v>
      </c>
      <c r="I66" s="1">
        <v>31.963999999999999</v>
      </c>
      <c r="J66" s="1">
        <v>22.375154808999998</v>
      </c>
      <c r="K66" s="3">
        <v>90</v>
      </c>
      <c r="L66" t="s">
        <v>40</v>
      </c>
      <c r="M66">
        <v>4</v>
      </c>
      <c r="N66" s="1">
        <v>7</v>
      </c>
      <c r="O66" s="1">
        <f t="shared" si="0"/>
        <v>11</v>
      </c>
      <c r="P66" s="1">
        <f t="shared" si="1"/>
        <v>4</v>
      </c>
      <c r="Q66" s="1">
        <v>15</v>
      </c>
      <c r="R66">
        <v>26.666666666666668</v>
      </c>
      <c r="S66">
        <v>60</v>
      </c>
      <c r="T66">
        <v>56.89</v>
      </c>
      <c r="U66">
        <v>-3.1132499999999999</v>
      </c>
      <c r="V66">
        <v>-5.472402883</v>
      </c>
      <c r="W66" s="3">
        <v>42.52</v>
      </c>
      <c r="X66" s="3">
        <v>2.9499472400000002</v>
      </c>
      <c r="Y66" s="3">
        <v>55.94</v>
      </c>
      <c r="Z66">
        <v>2.1451555240000002</v>
      </c>
      <c r="AA66">
        <v>9.5888451910000008</v>
      </c>
      <c r="AB66">
        <v>6.0561548089999997</v>
      </c>
      <c r="AC66">
        <v>38.709842180000003</v>
      </c>
      <c r="AD66">
        <v>28.286587409999999</v>
      </c>
      <c r="AE66">
        <v>57.25928717</v>
      </c>
      <c r="AF66">
        <v>75.344999999999999</v>
      </c>
      <c r="AG66">
        <v>132.60428719999999</v>
      </c>
      <c r="AH66">
        <v>104.3176998</v>
      </c>
      <c r="AI66">
        <v>78.668421660000007</v>
      </c>
      <c r="AJ66" s="3">
        <v>6.34</v>
      </c>
      <c r="AK66">
        <v>63.4</v>
      </c>
      <c r="AL66">
        <v>607.93278510000005</v>
      </c>
      <c r="AM66">
        <v>609.53434730000004</v>
      </c>
      <c r="AN66">
        <v>1230</v>
      </c>
      <c r="AO66">
        <v>1839.534347</v>
      </c>
      <c r="AP66">
        <v>1231.6015620000001</v>
      </c>
      <c r="AQ66">
        <v>66.951811149999997</v>
      </c>
    </row>
    <row r="67" spans="1:43" x14ac:dyDescent="0.35">
      <c r="A67">
        <v>1</v>
      </c>
      <c r="B67">
        <v>289</v>
      </c>
      <c r="C67" t="s">
        <v>35</v>
      </c>
      <c r="D67">
        <v>6</v>
      </c>
      <c r="E67">
        <v>2</v>
      </c>
      <c r="F67">
        <v>294</v>
      </c>
      <c r="G67">
        <v>71.000351339999995</v>
      </c>
      <c r="H67">
        <v>10.29</v>
      </c>
      <c r="I67" s="1">
        <v>20.410399999999999</v>
      </c>
      <c r="J67" s="1">
        <v>14.087819354999999</v>
      </c>
      <c r="K67" s="3">
        <v>120</v>
      </c>
      <c r="L67" t="s">
        <v>41</v>
      </c>
      <c r="M67">
        <v>2</v>
      </c>
      <c r="N67" s="1">
        <v>4.5</v>
      </c>
      <c r="O67" s="1">
        <f t="shared" si="0"/>
        <v>6.5</v>
      </c>
      <c r="P67" s="1">
        <f t="shared" si="1"/>
        <v>8.5</v>
      </c>
      <c r="Q67" s="1">
        <v>15</v>
      </c>
      <c r="R67">
        <v>56.666666666666664</v>
      </c>
      <c r="S67">
        <v>20</v>
      </c>
      <c r="T67">
        <v>45.37</v>
      </c>
      <c r="U67">
        <v>25.3735</v>
      </c>
      <c r="V67">
        <v>55.925721840000001</v>
      </c>
      <c r="W67" s="3">
        <v>27.88</v>
      </c>
      <c r="Y67" s="3">
        <v>55.8</v>
      </c>
      <c r="Z67">
        <v>2.150537634</v>
      </c>
      <c r="AA67">
        <v>6.3225806450000004</v>
      </c>
      <c r="AB67">
        <v>3.9674193550000001</v>
      </c>
      <c r="AC67">
        <v>38.556067589999998</v>
      </c>
      <c r="AM67">
        <v>445.1722029</v>
      </c>
      <c r="AN67">
        <v>1230</v>
      </c>
      <c r="AO67">
        <v>1675.1722030000001</v>
      </c>
      <c r="AP67">
        <v>1675.1722030000001</v>
      </c>
    </row>
    <row r="68" spans="1:43" x14ac:dyDescent="0.35">
      <c r="A68">
        <v>1</v>
      </c>
      <c r="B68">
        <v>290</v>
      </c>
      <c r="C68" t="s">
        <v>35</v>
      </c>
      <c r="D68">
        <v>18</v>
      </c>
      <c r="E68">
        <v>12</v>
      </c>
      <c r="F68">
        <v>457</v>
      </c>
      <c r="G68">
        <v>98.841004420000004</v>
      </c>
      <c r="H68">
        <v>15.994999999999999</v>
      </c>
      <c r="I68" s="1">
        <v>26.4908</v>
      </c>
      <c r="J68" s="1">
        <v>18.334940393</v>
      </c>
      <c r="K68" s="3">
        <v>120</v>
      </c>
      <c r="L68" t="s">
        <v>41</v>
      </c>
      <c r="M68">
        <v>2</v>
      </c>
      <c r="N68" s="1">
        <v>6.2</v>
      </c>
      <c r="O68" s="1">
        <f t="shared" si="0"/>
        <v>8.1999999999999993</v>
      </c>
      <c r="P68" s="1">
        <f t="shared" si="1"/>
        <v>16.8</v>
      </c>
      <c r="Q68" s="1">
        <v>25</v>
      </c>
      <c r="R68">
        <v>67.2</v>
      </c>
      <c r="S68">
        <v>60</v>
      </c>
      <c r="T68">
        <v>64.94</v>
      </c>
      <c r="U68">
        <v>4.9392500000000004</v>
      </c>
      <c r="V68">
        <v>7.6058669539999997</v>
      </c>
      <c r="W68" s="3">
        <v>36.4</v>
      </c>
      <c r="Y68" s="3">
        <v>67.239999999999995</v>
      </c>
      <c r="Z68">
        <v>1.784651993</v>
      </c>
      <c r="AA68">
        <v>8.155859607</v>
      </c>
      <c r="AB68">
        <v>7.8391403930000001</v>
      </c>
      <c r="AC68">
        <v>49.009943059999998</v>
      </c>
      <c r="AM68">
        <v>619.73309770000003</v>
      </c>
      <c r="AN68">
        <v>1230</v>
      </c>
      <c r="AO68">
        <v>1849.7330979999999</v>
      </c>
      <c r="AP68">
        <v>1849.7330979999999</v>
      </c>
    </row>
    <row r="69" spans="1:43" x14ac:dyDescent="0.35">
      <c r="A69">
        <v>1</v>
      </c>
      <c r="B69">
        <v>291</v>
      </c>
      <c r="C69" t="s">
        <v>35</v>
      </c>
      <c r="D69">
        <v>7</v>
      </c>
      <c r="E69">
        <v>4</v>
      </c>
      <c r="F69">
        <v>296</v>
      </c>
      <c r="G69">
        <v>71.362290869999995</v>
      </c>
      <c r="H69">
        <v>10.36</v>
      </c>
      <c r="I69" s="1">
        <v>18.398159999999901</v>
      </c>
      <c r="J69" s="1">
        <v>13.475083076999901</v>
      </c>
      <c r="K69" s="3">
        <v>180</v>
      </c>
      <c r="L69" t="s">
        <v>41</v>
      </c>
      <c r="M69">
        <v>1</v>
      </c>
      <c r="N69" s="1">
        <v>5.7</v>
      </c>
      <c r="O69" s="1">
        <f t="shared" si="0"/>
        <v>6.7</v>
      </c>
      <c r="P69" s="1">
        <f t="shared" si="1"/>
        <v>8.3000000000000007</v>
      </c>
      <c r="Q69" s="1">
        <v>15</v>
      </c>
      <c r="R69">
        <v>55.333333333333343</v>
      </c>
      <c r="S69">
        <v>20</v>
      </c>
      <c r="T69">
        <v>45.52</v>
      </c>
      <c r="U69">
        <v>25.524000000000001</v>
      </c>
      <c r="V69">
        <v>56.072056240000002</v>
      </c>
      <c r="W69" s="3">
        <v>22.22</v>
      </c>
      <c r="X69" s="3">
        <v>3.6877136400000001</v>
      </c>
      <c r="Y69" s="3">
        <v>72.150000000000006</v>
      </c>
      <c r="Z69">
        <v>1.6632016629999999</v>
      </c>
      <c r="AA69">
        <v>4.923076923</v>
      </c>
      <c r="AB69">
        <v>5.4369230770000003</v>
      </c>
      <c r="AC69">
        <v>52.479952480000001</v>
      </c>
      <c r="AD69">
        <v>18.15489792</v>
      </c>
      <c r="AE69">
        <v>42.03238932</v>
      </c>
      <c r="AF69">
        <v>75.344999999999999</v>
      </c>
      <c r="AG69">
        <v>117.3773893</v>
      </c>
      <c r="AH69">
        <v>99.222491399999996</v>
      </c>
      <c r="AI69">
        <v>84.532883190000007</v>
      </c>
      <c r="AJ69" s="3">
        <v>9.5399999999999991</v>
      </c>
      <c r="AK69">
        <v>95.4</v>
      </c>
      <c r="AL69">
        <v>469.66153850000001</v>
      </c>
      <c r="AM69">
        <v>447.44156370000002</v>
      </c>
      <c r="AN69">
        <v>1230</v>
      </c>
      <c r="AO69">
        <v>1677.441564</v>
      </c>
      <c r="AP69">
        <v>1207.780025</v>
      </c>
      <c r="AQ69">
        <v>72.001317450000002</v>
      </c>
    </row>
    <row r="70" spans="1:43" x14ac:dyDescent="0.35">
      <c r="A70">
        <v>1</v>
      </c>
      <c r="B70">
        <v>292</v>
      </c>
      <c r="C70" t="s">
        <v>34</v>
      </c>
      <c r="D70">
        <v>8</v>
      </c>
      <c r="E70">
        <v>6</v>
      </c>
      <c r="F70">
        <v>390</v>
      </c>
      <c r="G70">
        <v>87.760371960000001</v>
      </c>
      <c r="H70">
        <v>13.65</v>
      </c>
      <c r="I70" s="1">
        <v>25.362599999999901</v>
      </c>
      <c r="J70" s="1">
        <v>17.9328492459999</v>
      </c>
      <c r="K70" s="3">
        <v>225</v>
      </c>
      <c r="L70" t="s">
        <v>42</v>
      </c>
      <c r="M70">
        <v>0</v>
      </c>
      <c r="N70" s="1">
        <v>1</v>
      </c>
      <c r="O70" s="1">
        <f t="shared" si="0"/>
        <v>1</v>
      </c>
      <c r="P70" s="1">
        <f t="shared" si="1"/>
        <v>14</v>
      </c>
      <c r="Q70" s="1">
        <v>15</v>
      </c>
      <c r="R70">
        <v>93.333333333333329</v>
      </c>
      <c r="S70">
        <v>20</v>
      </c>
      <c r="T70">
        <v>52.6</v>
      </c>
      <c r="U70">
        <v>32.597499999999997</v>
      </c>
      <c r="V70">
        <v>61.972433459999998</v>
      </c>
      <c r="W70" s="3">
        <v>30.93</v>
      </c>
      <c r="Y70" s="3">
        <v>62.99</v>
      </c>
      <c r="Z70">
        <v>1.9050642959999999</v>
      </c>
      <c r="AA70">
        <v>7.4297507539999996</v>
      </c>
      <c r="AB70">
        <v>6.2202492459999998</v>
      </c>
      <c r="AC70">
        <v>45.569591549999998</v>
      </c>
      <c r="AE70">
        <v>51.690859080000003</v>
      </c>
      <c r="AF70">
        <v>75.344999999999999</v>
      </c>
      <c r="AG70">
        <v>127.0358591</v>
      </c>
      <c r="AH70">
        <v>127.0358591</v>
      </c>
      <c r="AI70">
        <v>100</v>
      </c>
      <c r="AJ70" s="3">
        <v>9.3699999999999992</v>
      </c>
      <c r="AK70">
        <v>93.7</v>
      </c>
      <c r="AL70">
        <v>696.16764569999998</v>
      </c>
      <c r="AM70">
        <v>550.25753220000001</v>
      </c>
      <c r="AN70">
        <v>1230</v>
      </c>
      <c r="AO70">
        <v>1780.2575320000001</v>
      </c>
      <c r="AP70">
        <v>1084.0898870000001</v>
      </c>
      <c r="AQ70">
        <v>60.895115840000003</v>
      </c>
    </row>
    <row r="71" spans="1:43" x14ac:dyDescent="0.35">
      <c r="A71">
        <v>1</v>
      </c>
      <c r="B71">
        <v>293</v>
      </c>
      <c r="C71" t="s">
        <v>34</v>
      </c>
      <c r="D71">
        <v>9</v>
      </c>
      <c r="E71">
        <v>3</v>
      </c>
      <c r="F71">
        <v>408</v>
      </c>
      <c r="G71">
        <v>90.78103342</v>
      </c>
      <c r="H71">
        <v>14.28</v>
      </c>
      <c r="I71" s="1">
        <v>25.047699999999899</v>
      </c>
      <c r="J71" s="1">
        <v>16.659829518999899</v>
      </c>
      <c r="K71" s="3">
        <v>30</v>
      </c>
      <c r="L71" t="s">
        <v>40</v>
      </c>
      <c r="M71">
        <v>6</v>
      </c>
      <c r="N71" s="1">
        <v>11</v>
      </c>
      <c r="O71" s="1">
        <f t="shared" si="0"/>
        <v>17</v>
      </c>
      <c r="P71" s="1">
        <f t="shared" si="1"/>
        <v>-2</v>
      </c>
      <c r="Q71" s="1">
        <v>15</v>
      </c>
      <c r="R71">
        <v>-13.333333333333334</v>
      </c>
      <c r="S71">
        <v>35</v>
      </c>
      <c r="T71">
        <v>53.95</v>
      </c>
      <c r="U71">
        <v>18.952000000000002</v>
      </c>
      <c r="V71">
        <v>35.128822980000002</v>
      </c>
      <c r="W71" s="3">
        <v>33.659999999999997</v>
      </c>
      <c r="X71" s="3">
        <v>3.9788386099999999</v>
      </c>
      <c r="Y71" s="3">
        <v>58.37</v>
      </c>
      <c r="Z71">
        <v>2.0558506080000001</v>
      </c>
      <c r="AA71">
        <v>8.3878704810000002</v>
      </c>
      <c r="AB71">
        <v>5.892129519</v>
      </c>
      <c r="AC71">
        <v>41.261411189999997</v>
      </c>
      <c r="AD71">
        <v>33.373982929999997</v>
      </c>
      <c r="AE71">
        <v>53.470028689999999</v>
      </c>
      <c r="AF71">
        <v>75.344999999999999</v>
      </c>
      <c r="AG71">
        <v>128.8150287</v>
      </c>
      <c r="AH71">
        <v>95.441045759999994</v>
      </c>
      <c r="AI71">
        <v>74.091545629999999</v>
      </c>
      <c r="AJ71" s="3">
        <v>8.4700000000000006</v>
      </c>
      <c r="AK71">
        <v>84.7</v>
      </c>
      <c r="AL71">
        <v>710.45262979999995</v>
      </c>
      <c r="AM71">
        <v>569.19707960000005</v>
      </c>
      <c r="AN71">
        <v>1230</v>
      </c>
      <c r="AO71">
        <v>1799.1970799999999</v>
      </c>
      <c r="AP71">
        <v>1088.7444499999999</v>
      </c>
      <c r="AQ71">
        <v>60.512795519999997</v>
      </c>
    </row>
    <row r="72" spans="1:43" x14ac:dyDescent="0.35">
      <c r="A72">
        <v>1</v>
      </c>
      <c r="B72">
        <v>294</v>
      </c>
      <c r="C72" t="s">
        <v>34</v>
      </c>
      <c r="D72">
        <v>6</v>
      </c>
      <c r="E72">
        <v>2</v>
      </c>
      <c r="F72">
        <v>314</v>
      </c>
      <c r="G72">
        <v>74.592856069999996</v>
      </c>
      <c r="H72">
        <v>10.99</v>
      </c>
      <c r="I72" s="1">
        <v>18.432399999999998</v>
      </c>
      <c r="J72" s="1">
        <v>12.502277242999998</v>
      </c>
      <c r="K72" s="3">
        <v>210</v>
      </c>
      <c r="L72" t="s">
        <v>42</v>
      </c>
      <c r="M72">
        <v>0</v>
      </c>
      <c r="N72" s="1">
        <v>2.5</v>
      </c>
      <c r="O72" s="1">
        <f t="shared" si="0"/>
        <v>2.5</v>
      </c>
      <c r="P72" s="1">
        <f t="shared" si="1"/>
        <v>12.5</v>
      </c>
      <c r="Q72" s="1">
        <v>15</v>
      </c>
      <c r="R72">
        <v>83.333333333333329</v>
      </c>
      <c r="S72">
        <v>20</v>
      </c>
      <c r="T72">
        <v>46.88</v>
      </c>
      <c r="U72">
        <v>26.878499999999999</v>
      </c>
      <c r="V72">
        <v>57.334684299999999</v>
      </c>
      <c r="W72" s="3">
        <v>27.62</v>
      </c>
      <c r="Y72" s="3">
        <v>63.54</v>
      </c>
      <c r="Z72">
        <v>1.888574127</v>
      </c>
      <c r="AA72">
        <v>5.9301227570000004</v>
      </c>
      <c r="AB72">
        <v>5.0598772429999999</v>
      </c>
      <c r="AC72">
        <v>46.040739240000001</v>
      </c>
      <c r="AJ72" s="3">
        <v>6.15</v>
      </c>
      <c r="AK72">
        <v>61.5</v>
      </c>
      <c r="AL72">
        <v>364.7025496</v>
      </c>
      <c r="AM72">
        <v>467.69720749999999</v>
      </c>
      <c r="AN72">
        <v>1230</v>
      </c>
      <c r="AO72">
        <v>1697.697208</v>
      </c>
      <c r="AP72">
        <v>1332.9946580000001</v>
      </c>
      <c r="AQ72">
        <v>78.517809420000006</v>
      </c>
    </row>
    <row r="73" spans="1:43" x14ac:dyDescent="0.35">
      <c r="A73">
        <v>1</v>
      </c>
      <c r="B73">
        <v>296</v>
      </c>
      <c r="C73" t="s">
        <v>34</v>
      </c>
      <c r="D73">
        <v>5</v>
      </c>
      <c r="E73">
        <v>2</v>
      </c>
      <c r="F73">
        <v>335</v>
      </c>
      <c r="G73">
        <v>78.303938270000003</v>
      </c>
      <c r="H73">
        <v>11.725</v>
      </c>
      <c r="I73" s="1">
        <v>12.620480000000001</v>
      </c>
      <c r="J73" s="1">
        <v>5.2389155490000006</v>
      </c>
      <c r="K73" s="3">
        <v>60</v>
      </c>
      <c r="L73" t="s">
        <v>40</v>
      </c>
      <c r="M73">
        <v>6</v>
      </c>
      <c r="N73" s="1">
        <v>6.5</v>
      </c>
      <c r="O73" s="1">
        <f t="shared" si="0"/>
        <v>12.5</v>
      </c>
      <c r="P73" s="1">
        <f t="shared" si="1"/>
        <v>2.5</v>
      </c>
      <c r="Q73" s="1">
        <v>15</v>
      </c>
      <c r="R73">
        <v>16.666666666666668</v>
      </c>
      <c r="S73">
        <v>20</v>
      </c>
      <c r="T73">
        <v>48.46</v>
      </c>
      <c r="U73">
        <v>28.458749999999998</v>
      </c>
      <c r="V73">
        <v>58.726269090000002</v>
      </c>
      <c r="W73" s="3">
        <v>17.940000000000001</v>
      </c>
      <c r="X73" s="3">
        <v>4.2208800399999999</v>
      </c>
      <c r="Y73" s="3">
        <v>54.46</v>
      </c>
      <c r="Z73">
        <v>2.203452075</v>
      </c>
      <c r="AA73">
        <v>7.381564451</v>
      </c>
      <c r="AB73">
        <v>4.3434355489999996</v>
      </c>
      <c r="AC73">
        <v>37.044226430000002</v>
      </c>
      <c r="AD73">
        <v>31.15669806</v>
      </c>
      <c r="AE73">
        <v>46.12101964</v>
      </c>
      <c r="AF73">
        <v>75.344999999999999</v>
      </c>
      <c r="AG73">
        <v>121.4660196</v>
      </c>
      <c r="AH73">
        <v>90.309321580000002</v>
      </c>
      <c r="AI73">
        <v>74.349453330000003</v>
      </c>
      <c r="AJ73" s="3">
        <v>11.74</v>
      </c>
      <c r="AK73">
        <v>117.4</v>
      </c>
      <c r="AL73">
        <v>866.59566649999999</v>
      </c>
      <c r="AM73">
        <v>490.96569290000002</v>
      </c>
      <c r="AN73">
        <v>1230</v>
      </c>
      <c r="AO73">
        <v>1720.9656930000001</v>
      </c>
      <c r="AP73">
        <v>854.37002640000003</v>
      </c>
      <c r="AQ73">
        <v>49.644802910000003</v>
      </c>
    </row>
    <row r="74" spans="1:43" x14ac:dyDescent="0.35">
      <c r="A74">
        <v>1</v>
      </c>
      <c r="B74">
        <v>297</v>
      </c>
      <c r="C74" t="s">
        <v>35</v>
      </c>
      <c r="D74">
        <v>5</v>
      </c>
      <c r="E74">
        <v>2</v>
      </c>
      <c r="F74">
        <v>503</v>
      </c>
      <c r="G74">
        <v>106.2125874</v>
      </c>
      <c r="H74">
        <v>17.605</v>
      </c>
      <c r="I74" s="1">
        <v>3.7019999999999995</v>
      </c>
      <c r="J74" s="1">
        <v>-4.4185435220000002</v>
      </c>
      <c r="K74" s="3">
        <v>90</v>
      </c>
      <c r="L74" t="s">
        <v>40</v>
      </c>
      <c r="M74">
        <v>4</v>
      </c>
      <c r="N74" s="1">
        <v>7</v>
      </c>
      <c r="O74" s="1">
        <f t="shared" si="0"/>
        <v>11</v>
      </c>
      <c r="P74" s="1">
        <f t="shared" si="1"/>
        <v>6</v>
      </c>
      <c r="Q74" s="1">
        <v>17</v>
      </c>
      <c r="R74">
        <v>35.294117647058826</v>
      </c>
      <c r="S74">
        <v>18</v>
      </c>
      <c r="T74">
        <v>62.56</v>
      </c>
      <c r="U74">
        <v>44.560749999999999</v>
      </c>
      <c r="V74">
        <v>71.228820330000005</v>
      </c>
      <c r="W74" s="3">
        <v>9.44</v>
      </c>
      <c r="X74" s="3">
        <v>5.5680810000000003</v>
      </c>
      <c r="Y74" s="3">
        <v>74.33</v>
      </c>
      <c r="Z74">
        <v>1.614422171</v>
      </c>
      <c r="AA74">
        <v>8.1205435220000002</v>
      </c>
      <c r="AB74">
        <v>9.4844564780000002</v>
      </c>
      <c r="AC74">
        <v>53.873652249999999</v>
      </c>
      <c r="AD74">
        <v>45.215844099999998</v>
      </c>
      <c r="AE74">
        <v>62.559213999999997</v>
      </c>
      <c r="AF74">
        <v>75.344999999999999</v>
      </c>
      <c r="AG74">
        <v>137.904214</v>
      </c>
      <c r="AH74">
        <v>92.688369910000006</v>
      </c>
      <c r="AI74">
        <v>67.212137479999996</v>
      </c>
      <c r="AJ74" s="3">
        <v>6.7</v>
      </c>
      <c r="AK74">
        <v>67</v>
      </c>
      <c r="AL74">
        <v>544.07641599999999</v>
      </c>
      <c r="AM74">
        <v>665.95292319999999</v>
      </c>
      <c r="AN74">
        <v>1230</v>
      </c>
      <c r="AO74">
        <v>1895.9529230000001</v>
      </c>
      <c r="AP74">
        <v>1351.8765069999999</v>
      </c>
      <c r="AQ74">
        <v>71.303273970000006</v>
      </c>
    </row>
    <row r="75" spans="1:43" x14ac:dyDescent="0.35">
      <c r="A75">
        <v>1</v>
      </c>
      <c r="B75">
        <v>299</v>
      </c>
      <c r="C75" t="s">
        <v>35</v>
      </c>
      <c r="D75">
        <v>5</v>
      </c>
      <c r="E75">
        <v>2</v>
      </c>
      <c r="F75">
        <v>512</v>
      </c>
      <c r="G75">
        <v>107.63474119999999</v>
      </c>
      <c r="H75">
        <v>17.920000000000002</v>
      </c>
      <c r="I75" s="1">
        <v>12.479899999999999</v>
      </c>
      <c r="J75" s="1">
        <v>2.8271113119999995</v>
      </c>
      <c r="K75" s="3">
        <v>330</v>
      </c>
      <c r="L75" t="s">
        <v>42</v>
      </c>
      <c r="M75">
        <v>0</v>
      </c>
      <c r="N75" s="1">
        <v>6</v>
      </c>
      <c r="O75" s="1">
        <f t="shared" si="0"/>
        <v>6</v>
      </c>
      <c r="P75" s="1">
        <f t="shared" si="1"/>
        <v>9</v>
      </c>
      <c r="Q75" s="1">
        <v>15</v>
      </c>
      <c r="R75">
        <v>60</v>
      </c>
      <c r="S75">
        <v>55</v>
      </c>
      <c r="T75">
        <v>61.78</v>
      </c>
      <c r="U75">
        <v>6.7779999999999996</v>
      </c>
      <c r="V75">
        <v>10.97118809</v>
      </c>
      <c r="W75" s="3">
        <v>20.29</v>
      </c>
      <c r="Y75" s="3">
        <v>63.65</v>
      </c>
      <c r="Z75">
        <v>1.8853102909999999</v>
      </c>
      <c r="AA75">
        <v>9.6527886879999993</v>
      </c>
      <c r="AB75">
        <v>8.2672113120000006</v>
      </c>
      <c r="AC75">
        <v>46.133991700000003</v>
      </c>
      <c r="AJ75" s="3">
        <v>9.35</v>
      </c>
      <c r="AK75">
        <v>93.5</v>
      </c>
      <c r="AL75">
        <v>902.53574230000004</v>
      </c>
      <c r="AM75">
        <v>674.86982699999999</v>
      </c>
      <c r="AN75">
        <v>1230</v>
      </c>
      <c r="AO75">
        <v>1904.869827</v>
      </c>
      <c r="AP75">
        <v>1002.334085</v>
      </c>
      <c r="AQ75">
        <v>52.619558060000003</v>
      </c>
    </row>
    <row r="76" spans="1:43" x14ac:dyDescent="0.35">
      <c r="A76">
        <v>1</v>
      </c>
      <c r="B76">
        <v>301</v>
      </c>
      <c r="C76" t="s">
        <v>34</v>
      </c>
      <c r="D76">
        <v>3</v>
      </c>
      <c r="E76">
        <v>1</v>
      </c>
      <c r="F76">
        <v>260</v>
      </c>
      <c r="G76">
        <v>64.748544609999996</v>
      </c>
      <c r="H76">
        <v>9.1</v>
      </c>
      <c r="I76" s="1">
        <v>22.47</v>
      </c>
      <c r="J76" s="1">
        <v>16.254860557999997</v>
      </c>
      <c r="K76" s="3">
        <v>210</v>
      </c>
      <c r="L76" t="s">
        <v>42</v>
      </c>
      <c r="M76">
        <v>0</v>
      </c>
      <c r="N76" s="1">
        <v>2</v>
      </c>
      <c r="O76" s="1">
        <f t="shared" si="0"/>
        <v>2</v>
      </c>
      <c r="P76" s="1">
        <f t="shared" si="1"/>
        <v>13</v>
      </c>
      <c r="Q76" s="1">
        <v>15</v>
      </c>
      <c r="R76">
        <v>86.666666666666671</v>
      </c>
      <c r="S76">
        <v>20</v>
      </c>
      <c r="T76">
        <v>42.81</v>
      </c>
      <c r="U76">
        <v>22.815000000000001</v>
      </c>
      <c r="V76">
        <v>53.293622990000003</v>
      </c>
      <c r="W76" s="3">
        <v>26.75</v>
      </c>
      <c r="Y76" s="3">
        <v>50.2</v>
      </c>
      <c r="Z76">
        <v>2.3904382470000001</v>
      </c>
      <c r="AA76">
        <v>6.2151394419999999</v>
      </c>
      <c r="AB76">
        <v>2.8848605580000002</v>
      </c>
      <c r="AC76">
        <v>31.701764369999999</v>
      </c>
      <c r="AJ76" s="3">
        <v>10.119999999999999</v>
      </c>
      <c r="AK76">
        <v>101.2</v>
      </c>
      <c r="AL76">
        <v>628.97211159999995</v>
      </c>
      <c r="AM76">
        <v>405.97337470000002</v>
      </c>
      <c r="AN76">
        <v>1230</v>
      </c>
      <c r="AO76">
        <v>1635.973375</v>
      </c>
      <c r="AP76">
        <v>1007.001263</v>
      </c>
      <c r="AQ76">
        <v>61.553646209999997</v>
      </c>
    </row>
    <row r="77" spans="1:43" x14ac:dyDescent="0.35">
      <c r="A77">
        <v>1</v>
      </c>
      <c r="B77">
        <v>302</v>
      </c>
      <c r="C77" t="s">
        <v>35</v>
      </c>
      <c r="D77">
        <v>10</v>
      </c>
      <c r="E77">
        <v>5</v>
      </c>
      <c r="F77">
        <v>423</v>
      </c>
      <c r="G77">
        <v>93.27285612</v>
      </c>
      <c r="H77">
        <v>14.805</v>
      </c>
      <c r="I77" s="1">
        <v>28.285</v>
      </c>
      <c r="J77" s="1">
        <v>19.830636243000001</v>
      </c>
      <c r="K77" s="3">
        <v>15</v>
      </c>
      <c r="L77" t="s">
        <v>40</v>
      </c>
      <c r="M77">
        <v>6</v>
      </c>
      <c r="N77" s="1">
        <v>6</v>
      </c>
      <c r="O77" s="1">
        <f t="shared" si="0"/>
        <v>12</v>
      </c>
      <c r="P77" s="1">
        <f t="shared" si="1"/>
        <v>3</v>
      </c>
      <c r="Q77" s="1">
        <v>15</v>
      </c>
      <c r="R77">
        <v>20</v>
      </c>
      <c r="S77">
        <v>20</v>
      </c>
      <c r="T77">
        <v>55.08</v>
      </c>
      <c r="U77">
        <v>37.080750000000002</v>
      </c>
      <c r="V77">
        <v>67.321623090000003</v>
      </c>
      <c r="W77" s="3">
        <v>40.14</v>
      </c>
      <c r="X77" s="3">
        <v>4.0156090000000004</v>
      </c>
      <c r="Y77" s="3">
        <v>60.04</v>
      </c>
      <c r="Z77">
        <v>1.9986675549999999</v>
      </c>
      <c r="AA77">
        <v>8.4543637569999994</v>
      </c>
      <c r="AB77">
        <v>6.3506362430000003</v>
      </c>
      <c r="AC77">
        <v>42.895212720000004</v>
      </c>
      <c r="AD77">
        <v>33.94941919</v>
      </c>
      <c r="AE77">
        <v>54.937712249999997</v>
      </c>
      <c r="AF77">
        <v>75.344999999999999</v>
      </c>
      <c r="AG77">
        <v>130.28271229999999</v>
      </c>
      <c r="AH77">
        <v>96.333293060000003</v>
      </c>
      <c r="AI77">
        <v>73.941731329999996</v>
      </c>
      <c r="AJ77" s="3">
        <v>6.1</v>
      </c>
      <c r="AK77">
        <v>61</v>
      </c>
      <c r="AL77">
        <v>515.71618920000003</v>
      </c>
      <c r="AM77">
        <v>584.82080780000001</v>
      </c>
      <c r="AN77">
        <v>1230</v>
      </c>
      <c r="AO77">
        <v>1814.8208079999999</v>
      </c>
      <c r="AP77">
        <v>1299.104619</v>
      </c>
      <c r="AQ77">
        <v>71.583079330000004</v>
      </c>
    </row>
    <row r="78" spans="1:43" x14ac:dyDescent="0.35">
      <c r="A78">
        <v>2</v>
      </c>
      <c r="B78">
        <v>600</v>
      </c>
      <c r="C78" s="2" t="s">
        <v>35</v>
      </c>
      <c r="D78" s="2" t="s">
        <v>48</v>
      </c>
      <c r="E78" s="2">
        <v>1</v>
      </c>
      <c r="F78" s="2">
        <v>434</v>
      </c>
      <c r="G78" s="2">
        <v>95.086157400000005</v>
      </c>
      <c r="H78" s="2">
        <v>15.19</v>
      </c>
      <c r="I78" s="4">
        <v>7.1044999999999998</v>
      </c>
      <c r="J78" s="4">
        <v>-1.1406253480000004</v>
      </c>
      <c r="K78" s="3">
        <v>90</v>
      </c>
      <c r="L78" t="s">
        <v>40</v>
      </c>
      <c r="M78">
        <v>4</v>
      </c>
      <c r="N78" s="2">
        <v>3</v>
      </c>
      <c r="O78" s="1">
        <f t="shared" ref="O78:O107" si="2">M78+N78</f>
        <v>7</v>
      </c>
      <c r="P78" s="1">
        <f t="shared" ref="P78:P107" si="3">Q78-O78</f>
        <v>11</v>
      </c>
      <c r="Q78" s="2">
        <v>18</v>
      </c>
      <c r="R78" s="2">
        <v>61.111111111111114</v>
      </c>
      <c r="S78" s="2">
        <v>35</v>
      </c>
      <c r="W78" s="3">
        <v>20.85</v>
      </c>
      <c r="X78" s="3">
        <v>4.3742694100000001</v>
      </c>
      <c r="Y78" s="3">
        <v>53.85</v>
      </c>
      <c r="Z78">
        <v>2.2284122559999999</v>
      </c>
      <c r="AA78">
        <v>8.2451253480000002</v>
      </c>
      <c r="AB78">
        <v>6.9448746520000002</v>
      </c>
      <c r="AC78">
        <v>45.720043789999998</v>
      </c>
      <c r="AD78">
        <v>36.066399590000003</v>
      </c>
      <c r="AE78">
        <v>56.005746709999997</v>
      </c>
      <c r="AF78">
        <v>75.344999999999999</v>
      </c>
      <c r="AG78">
        <v>131.3507467</v>
      </c>
      <c r="AH78">
        <v>95.284347120000007</v>
      </c>
      <c r="AI78">
        <v>72.541915070000002</v>
      </c>
      <c r="AJ78" s="3">
        <v>10.77</v>
      </c>
      <c r="AK78">
        <v>107.7</v>
      </c>
      <c r="AL78">
        <v>888</v>
      </c>
      <c r="AM78">
        <v>596.19020690000002</v>
      </c>
      <c r="AN78">
        <v>1230</v>
      </c>
      <c r="AO78">
        <v>1826.1902070000001</v>
      </c>
      <c r="AP78">
        <v>938.19020690000002</v>
      </c>
      <c r="AQ78">
        <v>51.374177969999998</v>
      </c>
    </row>
    <row r="79" spans="1:43" x14ac:dyDescent="0.35">
      <c r="A79">
        <v>2</v>
      </c>
      <c r="B79">
        <v>601</v>
      </c>
      <c r="C79" s="2" t="s">
        <v>34</v>
      </c>
      <c r="D79" s="2" t="s">
        <v>46</v>
      </c>
      <c r="E79" s="2">
        <v>3</v>
      </c>
      <c r="F79" s="2">
        <v>370</v>
      </c>
      <c r="G79" s="2">
        <v>84.362859740000005</v>
      </c>
      <c r="H79" s="2">
        <v>12.95</v>
      </c>
      <c r="I79" s="4">
        <v>4.0141</v>
      </c>
      <c r="J79" s="4">
        <v>-7.3692992100000003</v>
      </c>
      <c r="K79" s="3">
        <v>105</v>
      </c>
      <c r="L79" t="s">
        <v>41</v>
      </c>
      <c r="M79">
        <v>2</v>
      </c>
      <c r="N79" s="2">
        <v>9</v>
      </c>
      <c r="O79" s="1">
        <f t="shared" si="2"/>
        <v>11</v>
      </c>
      <c r="P79" s="1">
        <f t="shared" si="3"/>
        <v>7</v>
      </c>
      <c r="Q79" s="2">
        <v>18</v>
      </c>
      <c r="R79" s="2">
        <v>38.888888888888886</v>
      </c>
      <c r="S79" s="2">
        <v>35</v>
      </c>
      <c r="W79" s="3">
        <v>14.58</v>
      </c>
      <c r="X79" s="3">
        <v>6.0419302400000001</v>
      </c>
      <c r="Y79" s="3">
        <v>45.54</v>
      </c>
      <c r="Z79">
        <v>2.635046113</v>
      </c>
      <c r="AA79">
        <v>11.38339921</v>
      </c>
      <c r="AB79">
        <v>1.5666007909999999</v>
      </c>
      <c r="AC79">
        <v>12.097303399999999</v>
      </c>
      <c r="AD79">
        <v>68.777703919999993</v>
      </c>
      <c r="AE79">
        <v>49.689724380000001</v>
      </c>
      <c r="AF79">
        <v>90.414000000000001</v>
      </c>
      <c r="AG79">
        <v>140.1037244</v>
      </c>
      <c r="AH79">
        <v>71.326020470000003</v>
      </c>
      <c r="AI79">
        <v>50.909439259999999</v>
      </c>
      <c r="AJ79" s="3">
        <v>12.16</v>
      </c>
      <c r="AK79">
        <v>121.6</v>
      </c>
      <c r="AL79">
        <v>1384.221344</v>
      </c>
      <c r="AM79">
        <v>528.9551305</v>
      </c>
      <c r="AN79">
        <v>1476</v>
      </c>
      <c r="AO79">
        <v>2004.9551309999999</v>
      </c>
      <c r="AP79">
        <v>620.7337867</v>
      </c>
      <c r="AQ79">
        <v>30.959983950000002</v>
      </c>
    </row>
    <row r="80" spans="1:43" x14ac:dyDescent="0.35">
      <c r="A80">
        <v>2</v>
      </c>
      <c r="B80">
        <v>602</v>
      </c>
      <c r="C80" s="2" t="s">
        <v>34</v>
      </c>
      <c r="D80" s="2" t="s">
        <v>46</v>
      </c>
      <c r="E80" s="2">
        <v>1</v>
      </c>
      <c r="F80" s="2">
        <v>375</v>
      </c>
      <c r="G80" s="2">
        <v>85.216452489999995</v>
      </c>
      <c r="H80" s="2">
        <v>13.125</v>
      </c>
      <c r="I80" s="4">
        <v>6.7770000000000001</v>
      </c>
      <c r="J80" s="4">
        <v>-1.6922233320000002</v>
      </c>
      <c r="K80" s="3">
        <v>360</v>
      </c>
      <c r="L80" t="s">
        <v>42</v>
      </c>
      <c r="M80">
        <v>0</v>
      </c>
      <c r="N80" s="2">
        <v>2</v>
      </c>
      <c r="O80" s="1">
        <f t="shared" si="2"/>
        <v>2</v>
      </c>
      <c r="P80" s="1">
        <f t="shared" si="3"/>
        <v>16</v>
      </c>
      <c r="Q80" s="2">
        <v>18</v>
      </c>
      <c r="R80" s="2">
        <v>88.888888888888886</v>
      </c>
      <c r="S80">
        <v>40</v>
      </c>
      <c r="T80">
        <v>58.4</v>
      </c>
      <c r="U80">
        <v>18.3995</v>
      </c>
      <c r="V80">
        <v>31.505993149999998</v>
      </c>
      <c r="W80" s="3">
        <v>22.59</v>
      </c>
      <c r="X80" s="3">
        <v>6.4112074899999998</v>
      </c>
      <c r="Y80" s="3">
        <v>62.06</v>
      </c>
      <c r="Z80">
        <v>1.9336126330000001</v>
      </c>
      <c r="AA80">
        <v>8.4692233320000003</v>
      </c>
      <c r="AB80">
        <v>4.6557766679999997</v>
      </c>
      <c r="AC80">
        <v>35.472584140000002</v>
      </c>
      <c r="AD80">
        <v>54.297948060000003</v>
      </c>
      <c r="AE80">
        <v>50.192490509999999</v>
      </c>
      <c r="AF80">
        <v>75.344999999999999</v>
      </c>
      <c r="AG80">
        <v>125.5374905</v>
      </c>
      <c r="AH80">
        <v>71.239542450000002</v>
      </c>
      <c r="AI80">
        <v>56.747623490000002</v>
      </c>
      <c r="AJ80" s="3">
        <v>12.91</v>
      </c>
      <c r="AK80">
        <v>129.1</v>
      </c>
      <c r="AL80">
        <v>1093.3767319999999</v>
      </c>
      <c r="AM80">
        <v>534.30715710000004</v>
      </c>
      <c r="AN80">
        <v>1230</v>
      </c>
      <c r="AO80">
        <v>1764.307157</v>
      </c>
      <c r="AP80">
        <v>670.93042490000005</v>
      </c>
      <c r="AQ80">
        <v>38.027982950000002</v>
      </c>
    </row>
    <row r="81" spans="1:43" x14ac:dyDescent="0.35">
      <c r="A81">
        <v>2</v>
      </c>
      <c r="B81">
        <v>603</v>
      </c>
      <c r="C81" s="2" t="s">
        <v>35</v>
      </c>
      <c r="D81" s="2" t="s">
        <v>48</v>
      </c>
      <c r="E81" s="2">
        <v>1</v>
      </c>
      <c r="F81" s="2">
        <v>457</v>
      </c>
      <c r="G81" s="2">
        <v>98.841004420000004</v>
      </c>
      <c r="H81" s="2">
        <v>15.994999999999999</v>
      </c>
      <c r="I81" s="4">
        <v>8.3582999999999998</v>
      </c>
      <c r="J81" s="4">
        <v>-0.2849484689999997</v>
      </c>
      <c r="K81" s="3">
        <v>30</v>
      </c>
      <c r="L81" t="s">
        <v>40</v>
      </c>
      <c r="M81">
        <v>6</v>
      </c>
      <c r="N81" s="2">
        <v>12</v>
      </c>
      <c r="O81" s="1">
        <f t="shared" si="2"/>
        <v>18</v>
      </c>
      <c r="P81" s="1">
        <f t="shared" si="3"/>
        <v>0</v>
      </c>
      <c r="Q81" s="2">
        <v>18</v>
      </c>
      <c r="R81" s="2">
        <v>0</v>
      </c>
      <c r="S81" s="2">
        <v>35</v>
      </c>
      <c r="W81" s="3">
        <v>22.59</v>
      </c>
      <c r="X81" s="3">
        <v>8.0048115600000003</v>
      </c>
      <c r="Y81" s="3">
        <v>62.06</v>
      </c>
      <c r="Z81">
        <v>1.9336126330000001</v>
      </c>
      <c r="AA81">
        <v>8.6432484689999995</v>
      </c>
      <c r="AB81">
        <v>7.3517515309999997</v>
      </c>
      <c r="AC81">
        <v>45.962810449999999</v>
      </c>
      <c r="AD81">
        <v>69.187575260000003</v>
      </c>
      <c r="AE81">
        <v>58.217351600000001</v>
      </c>
      <c r="AF81">
        <v>85.391000000000005</v>
      </c>
      <c r="AG81">
        <v>143.60835159999999</v>
      </c>
      <c r="AH81">
        <v>74.420776340000003</v>
      </c>
      <c r="AI81">
        <v>51.822039259999997</v>
      </c>
      <c r="AJ81" s="3">
        <v>6.53</v>
      </c>
      <c r="AK81">
        <v>65.3</v>
      </c>
      <c r="AL81">
        <v>564.40412500000002</v>
      </c>
      <c r="AM81">
        <v>619.73309770000003</v>
      </c>
      <c r="AN81">
        <v>1394</v>
      </c>
      <c r="AO81">
        <v>2013.7330979999999</v>
      </c>
      <c r="AP81">
        <v>1449.3289729999999</v>
      </c>
      <c r="AQ81">
        <v>71.972247679999995</v>
      </c>
    </row>
    <row r="82" spans="1:43" x14ac:dyDescent="0.35">
      <c r="A82">
        <v>2</v>
      </c>
      <c r="B82">
        <v>604</v>
      </c>
      <c r="C82" s="2" t="s">
        <v>34</v>
      </c>
      <c r="D82" s="2" t="s">
        <v>46</v>
      </c>
      <c r="E82" s="2">
        <v>5</v>
      </c>
      <c r="F82" s="2">
        <v>432</v>
      </c>
      <c r="G82" s="2">
        <v>94.75732893</v>
      </c>
      <c r="H82" s="2">
        <v>15.12</v>
      </c>
      <c r="I82" s="4">
        <v>12.732900000000001</v>
      </c>
      <c r="J82" s="4">
        <v>1.9046692600000004</v>
      </c>
      <c r="K82" s="3">
        <v>390</v>
      </c>
      <c r="L82" t="s">
        <v>42</v>
      </c>
      <c r="M82">
        <v>0</v>
      </c>
      <c r="N82" s="2">
        <v>5.5</v>
      </c>
      <c r="O82" s="1">
        <f t="shared" si="2"/>
        <v>5.5</v>
      </c>
      <c r="P82" s="1">
        <f t="shared" si="3"/>
        <v>12.5</v>
      </c>
      <c r="Q82" s="2">
        <v>18</v>
      </c>
      <c r="R82" s="2">
        <v>69.444444444444443</v>
      </c>
      <c r="S82">
        <v>40</v>
      </c>
      <c r="T82">
        <v>67.58</v>
      </c>
      <c r="U82">
        <v>27.58</v>
      </c>
      <c r="V82">
        <v>40.810890800000003</v>
      </c>
      <c r="W82" s="3">
        <v>22.59</v>
      </c>
      <c r="X82" s="3">
        <v>7.7592102900000004</v>
      </c>
      <c r="Y82" s="3">
        <v>62.06</v>
      </c>
      <c r="Z82">
        <v>1.9336126330000001</v>
      </c>
      <c r="AA82">
        <v>10.82823074</v>
      </c>
      <c r="AB82">
        <v>4.2917692560000003</v>
      </c>
      <c r="AC82">
        <v>28.384717299999998</v>
      </c>
      <c r="AD82">
        <v>84.018519409999996</v>
      </c>
      <c r="AE82">
        <v>55.812066739999999</v>
      </c>
      <c r="AF82">
        <v>85.391000000000005</v>
      </c>
      <c r="AG82">
        <v>141.20306669999999</v>
      </c>
      <c r="AH82">
        <v>57.184547330000001</v>
      </c>
      <c r="AI82">
        <v>40.498091610000003</v>
      </c>
      <c r="AJ82" s="3">
        <v>10.42</v>
      </c>
      <c r="AK82">
        <v>104.2</v>
      </c>
      <c r="AL82">
        <v>1128.3016439999999</v>
      </c>
      <c r="AM82">
        <v>594.12845240000001</v>
      </c>
      <c r="AN82">
        <v>1394</v>
      </c>
      <c r="AO82">
        <v>1988.1284519999999</v>
      </c>
      <c r="AP82">
        <v>859.82680879999998</v>
      </c>
      <c r="AQ82">
        <v>43.248051089999997</v>
      </c>
    </row>
    <row r="83" spans="1:43" x14ac:dyDescent="0.35">
      <c r="A83">
        <v>2</v>
      </c>
      <c r="B83">
        <v>605</v>
      </c>
      <c r="C83" s="2" t="s">
        <v>34</v>
      </c>
      <c r="D83" s="2" t="s">
        <v>46</v>
      </c>
      <c r="E83" s="2">
        <v>2</v>
      </c>
      <c r="F83" s="2">
        <v>432</v>
      </c>
      <c r="G83" s="2">
        <v>94.75732893</v>
      </c>
      <c r="H83" s="2">
        <v>15.12</v>
      </c>
      <c r="I83" s="4">
        <v>10.1655</v>
      </c>
      <c r="J83" s="4">
        <v>0.17190614999999987</v>
      </c>
      <c r="K83" s="3">
        <v>270</v>
      </c>
      <c r="L83" t="s">
        <v>42</v>
      </c>
      <c r="M83">
        <v>0</v>
      </c>
      <c r="N83" s="2">
        <v>5</v>
      </c>
      <c r="O83" s="1">
        <f t="shared" si="2"/>
        <v>5</v>
      </c>
      <c r="P83" s="1">
        <f t="shared" si="3"/>
        <v>13</v>
      </c>
      <c r="Q83" s="2">
        <v>18</v>
      </c>
      <c r="R83" s="2">
        <v>72.222222222222229</v>
      </c>
      <c r="S83">
        <v>60</v>
      </c>
      <c r="T83">
        <v>54.79</v>
      </c>
      <c r="U83">
        <v>-5.2125000000000004</v>
      </c>
      <c r="V83">
        <v>-9.5135973719999996</v>
      </c>
      <c r="W83" s="3">
        <v>15.09</v>
      </c>
      <c r="X83" s="3">
        <v>6.1458086400000003</v>
      </c>
      <c r="Y83" s="3">
        <v>46.83</v>
      </c>
      <c r="Z83">
        <v>2.5624599620000001</v>
      </c>
      <c r="AA83">
        <v>9.9935938499999999</v>
      </c>
      <c r="AB83">
        <v>5.1264061500000002</v>
      </c>
      <c r="AC83">
        <v>33.904802580000002</v>
      </c>
      <c r="AD83">
        <v>61.418715429999999</v>
      </c>
      <c r="AE83">
        <v>55.812066739999999</v>
      </c>
      <c r="AF83">
        <v>90.414000000000001</v>
      </c>
      <c r="AG83">
        <v>146.22606669999999</v>
      </c>
      <c r="AH83">
        <v>84.807351310000001</v>
      </c>
      <c r="AI83">
        <v>57.997423580000003</v>
      </c>
      <c r="AJ83" s="3">
        <v>17.510000000000002</v>
      </c>
      <c r="AK83">
        <v>175.1</v>
      </c>
      <c r="AL83">
        <v>1749.878283</v>
      </c>
      <c r="AM83">
        <v>594.12845240000001</v>
      </c>
      <c r="AN83">
        <v>1476</v>
      </c>
      <c r="AO83">
        <v>2070.1284519999999</v>
      </c>
      <c r="AP83">
        <v>320.25016929999998</v>
      </c>
      <c r="AQ83">
        <v>15.470062690000001</v>
      </c>
    </row>
    <row r="84" spans="1:43" x14ac:dyDescent="0.35">
      <c r="A84">
        <v>2</v>
      </c>
      <c r="B84">
        <v>606</v>
      </c>
      <c r="C84" s="2" t="s">
        <v>34</v>
      </c>
      <c r="D84" s="2" t="s">
        <v>46</v>
      </c>
      <c r="E84" s="2">
        <v>1</v>
      </c>
      <c r="F84" s="2">
        <v>421</v>
      </c>
      <c r="G84" s="2">
        <v>92.941905439999999</v>
      </c>
      <c r="H84" s="2">
        <v>14.734999999999999</v>
      </c>
      <c r="I84" s="4">
        <v>4.1929999999999987</v>
      </c>
      <c r="J84" s="4">
        <v>-0.78310921500000141</v>
      </c>
      <c r="K84" s="3">
        <v>9</v>
      </c>
      <c r="L84" t="s">
        <v>40</v>
      </c>
      <c r="M84">
        <v>6</v>
      </c>
      <c r="N84" s="2">
        <v>2</v>
      </c>
      <c r="O84" s="1">
        <f t="shared" si="2"/>
        <v>8</v>
      </c>
      <c r="P84" s="1">
        <f t="shared" si="3"/>
        <v>10</v>
      </c>
      <c r="Q84" s="2">
        <v>18</v>
      </c>
      <c r="R84" s="2">
        <v>55.555555555555557</v>
      </c>
      <c r="S84">
        <v>60</v>
      </c>
      <c r="T84">
        <v>43.72</v>
      </c>
      <c r="U84">
        <v>-16.274249999999999</v>
      </c>
      <c r="V84">
        <v>-37.223810610000001</v>
      </c>
      <c r="W84" s="3">
        <v>17.52</v>
      </c>
      <c r="X84" s="3">
        <v>5.7140440000000003</v>
      </c>
      <c r="Y84" s="3">
        <v>58.6</v>
      </c>
      <c r="Z84">
        <v>2.0477815700000002</v>
      </c>
      <c r="AA84">
        <v>4.9761092150000001</v>
      </c>
      <c r="AB84">
        <v>9.7588907850000002</v>
      </c>
      <c r="AC84">
        <v>66.229323280000003</v>
      </c>
      <c r="AD84">
        <v>28.433706999999998</v>
      </c>
      <c r="AE84">
        <v>54.742782300000002</v>
      </c>
      <c r="AF84">
        <v>85.391000000000005</v>
      </c>
      <c r="AG84">
        <v>140.13378230000001</v>
      </c>
      <c r="AH84">
        <v>111.70007529999999</v>
      </c>
      <c r="AI84">
        <v>79.709598549999995</v>
      </c>
      <c r="AJ84" s="3">
        <v>12.96</v>
      </c>
      <c r="AK84">
        <v>129.6</v>
      </c>
      <c r="AL84">
        <v>644.90375429999995</v>
      </c>
      <c r="AM84">
        <v>582.74574710000002</v>
      </c>
      <c r="AN84">
        <v>1394</v>
      </c>
      <c r="AO84">
        <v>1976.7457469999999</v>
      </c>
      <c r="AP84">
        <v>1331.841993</v>
      </c>
      <c r="AQ84">
        <v>67.375482899999994</v>
      </c>
    </row>
    <row r="85" spans="1:43" x14ac:dyDescent="0.35">
      <c r="A85">
        <v>2</v>
      </c>
      <c r="B85">
        <v>607</v>
      </c>
      <c r="C85" s="2" t="s">
        <v>35</v>
      </c>
      <c r="D85" s="2" t="s">
        <v>49</v>
      </c>
      <c r="E85" s="2">
        <v>3</v>
      </c>
      <c r="F85" s="2">
        <v>487</v>
      </c>
      <c r="G85" s="2">
        <v>103.6684776</v>
      </c>
      <c r="H85" s="2">
        <v>17.045000000000002</v>
      </c>
      <c r="I85" s="4">
        <v>15.286</v>
      </c>
      <c r="J85" s="4">
        <v>5.699158409999999</v>
      </c>
      <c r="K85" s="3">
        <v>60</v>
      </c>
      <c r="L85" t="s">
        <v>40</v>
      </c>
      <c r="M85">
        <v>6</v>
      </c>
      <c r="N85" s="2">
        <v>3</v>
      </c>
      <c r="O85" s="1">
        <f t="shared" si="2"/>
        <v>9</v>
      </c>
      <c r="P85" s="1">
        <f t="shared" si="3"/>
        <v>9</v>
      </c>
      <c r="Q85" s="2">
        <v>18</v>
      </c>
      <c r="R85" s="2">
        <v>50</v>
      </c>
      <c r="S85">
        <v>20</v>
      </c>
      <c r="T85">
        <v>56.14</v>
      </c>
      <c r="U85">
        <v>36.142000000000003</v>
      </c>
      <c r="V85">
        <v>64.378339859999997</v>
      </c>
      <c r="W85" s="3">
        <v>15.63</v>
      </c>
      <c r="X85" s="3">
        <v>5.4245662899999996</v>
      </c>
      <c r="Y85" s="3">
        <v>51.07</v>
      </c>
      <c r="Z85">
        <v>2.349716076</v>
      </c>
      <c r="AA85">
        <v>9.5868415900000006</v>
      </c>
      <c r="AB85">
        <v>7.4581584100000002</v>
      </c>
      <c r="AC85">
        <v>43.755696159999999</v>
      </c>
      <c r="AD85">
        <v>52.004457719999998</v>
      </c>
      <c r="AE85">
        <v>61.060733319999997</v>
      </c>
      <c r="AF85">
        <v>75.344999999999999</v>
      </c>
      <c r="AG85">
        <v>136.40573330000001</v>
      </c>
      <c r="AH85">
        <v>84.401275600000005</v>
      </c>
      <c r="AI85">
        <v>61.875167230000002</v>
      </c>
      <c r="AJ85" s="3">
        <v>10.6</v>
      </c>
      <c r="AK85">
        <v>106</v>
      </c>
      <c r="AL85">
        <v>1016.205209</v>
      </c>
      <c r="AM85">
        <v>650.00135460000001</v>
      </c>
      <c r="AN85">
        <v>1230</v>
      </c>
      <c r="AO85">
        <v>1880.0013550000001</v>
      </c>
      <c r="AP85">
        <v>863.79614609999999</v>
      </c>
      <c r="AQ85">
        <v>45.94657041</v>
      </c>
    </row>
    <row r="86" spans="1:43" x14ac:dyDescent="0.35">
      <c r="A86">
        <v>2</v>
      </c>
      <c r="B86">
        <v>608</v>
      </c>
      <c r="C86" s="2" t="s">
        <v>35</v>
      </c>
      <c r="D86" s="2" t="s">
        <v>48</v>
      </c>
      <c r="E86" s="2">
        <v>3</v>
      </c>
      <c r="F86" s="2">
        <v>432</v>
      </c>
      <c r="G86" s="2">
        <v>94.75732893</v>
      </c>
      <c r="H86" s="2">
        <v>15.12</v>
      </c>
      <c r="I86" s="4">
        <v>9.5452999999999992</v>
      </c>
      <c r="J86" s="4">
        <v>0.17412582099999874</v>
      </c>
      <c r="K86" s="3">
        <v>210</v>
      </c>
      <c r="L86" t="s">
        <v>42</v>
      </c>
      <c r="M86">
        <v>0</v>
      </c>
      <c r="N86" s="2">
        <v>8</v>
      </c>
      <c r="O86" s="1">
        <f t="shared" si="2"/>
        <v>8</v>
      </c>
      <c r="P86" s="1">
        <f t="shared" si="3"/>
        <v>9</v>
      </c>
      <c r="Q86" s="2">
        <v>17</v>
      </c>
      <c r="R86" s="2">
        <v>52.941176470588232</v>
      </c>
      <c r="S86">
        <v>40</v>
      </c>
      <c r="T86">
        <v>56.39</v>
      </c>
      <c r="U86">
        <v>16.390250000000002</v>
      </c>
      <c r="V86">
        <v>29.065880480000001</v>
      </c>
      <c r="W86" s="3">
        <v>23.12</v>
      </c>
      <c r="X86" s="3">
        <v>3.9976238099999999</v>
      </c>
      <c r="Y86" s="3">
        <v>53.91</v>
      </c>
      <c r="Z86">
        <v>2.2259321089999999</v>
      </c>
      <c r="AA86">
        <v>9.3711741790000005</v>
      </c>
      <c r="AB86">
        <v>5.7488258209999996</v>
      </c>
      <c r="AC86">
        <v>38.021334789999997</v>
      </c>
      <c r="AD86">
        <v>37.462429030000003</v>
      </c>
      <c r="AE86">
        <v>55.812066739999999</v>
      </c>
      <c r="AF86">
        <v>85.391000000000005</v>
      </c>
      <c r="AG86">
        <v>141.20306669999999</v>
      </c>
      <c r="AH86">
        <v>103.74063769999999</v>
      </c>
      <c r="AI86">
        <v>73.469110909999998</v>
      </c>
      <c r="AJ86" s="3">
        <v>7.99</v>
      </c>
      <c r="AK86">
        <v>79.900000000000006</v>
      </c>
      <c r="AL86">
        <v>748.75681689999999</v>
      </c>
      <c r="AM86">
        <v>594.12845240000001</v>
      </c>
      <c r="AN86">
        <v>1394</v>
      </c>
      <c r="AO86">
        <v>1988.1284519999999</v>
      </c>
      <c r="AP86">
        <v>1239.371635</v>
      </c>
      <c r="AQ86">
        <v>62.338609660000003</v>
      </c>
    </row>
    <row r="87" spans="1:43" x14ac:dyDescent="0.35">
      <c r="A87">
        <v>2</v>
      </c>
      <c r="B87">
        <v>609</v>
      </c>
      <c r="C87" s="2" t="s">
        <v>35</v>
      </c>
      <c r="D87" s="2" t="s">
        <v>48</v>
      </c>
      <c r="E87" s="2">
        <v>3</v>
      </c>
      <c r="F87" s="2">
        <v>438</v>
      </c>
      <c r="G87" s="2">
        <v>95.742680640000003</v>
      </c>
      <c r="H87" s="2">
        <v>15.33</v>
      </c>
      <c r="I87" s="4">
        <v>25.432000000000002</v>
      </c>
      <c r="J87" s="4">
        <v>16.771229311000003</v>
      </c>
      <c r="K87" s="3">
        <v>90</v>
      </c>
      <c r="L87" t="s">
        <v>40</v>
      </c>
      <c r="M87">
        <v>4</v>
      </c>
      <c r="N87" s="2">
        <v>12</v>
      </c>
      <c r="O87" s="1">
        <f t="shared" si="2"/>
        <v>16</v>
      </c>
      <c r="P87" s="1">
        <f t="shared" si="3"/>
        <v>1</v>
      </c>
      <c r="Q87" s="2">
        <v>17</v>
      </c>
      <c r="R87" s="2">
        <v>5.882352941176471</v>
      </c>
      <c r="S87">
        <v>30</v>
      </c>
      <c r="T87">
        <v>59.1</v>
      </c>
      <c r="U87">
        <v>29.099250000000001</v>
      </c>
      <c r="V87">
        <v>49.237309639999999</v>
      </c>
      <c r="W87" s="3">
        <v>22.11</v>
      </c>
      <c r="X87" s="3">
        <v>11.027016209999999</v>
      </c>
      <c r="Y87" s="3">
        <v>63.32</v>
      </c>
      <c r="Z87">
        <v>1.895135818</v>
      </c>
      <c r="AA87">
        <v>8.6607706889999996</v>
      </c>
      <c r="AB87">
        <v>6.6692293109999996</v>
      </c>
      <c r="AC87">
        <v>43.504431259999997</v>
      </c>
      <c r="AD87">
        <v>95.502458770000004</v>
      </c>
      <c r="AE87">
        <v>56.392438900000002</v>
      </c>
      <c r="AF87">
        <v>85.391000000000005</v>
      </c>
      <c r="AG87">
        <v>141.78343889999999</v>
      </c>
      <c r="AH87">
        <v>46.280980130000003</v>
      </c>
      <c r="AI87">
        <v>32.642021159999999</v>
      </c>
      <c r="AJ87" s="3">
        <v>7.33</v>
      </c>
      <c r="AK87">
        <v>73.3</v>
      </c>
      <c r="AL87">
        <v>634.83449150000001</v>
      </c>
      <c r="AM87">
        <v>600.30660760000001</v>
      </c>
      <c r="AN87">
        <v>1394</v>
      </c>
      <c r="AO87">
        <v>1994.3066080000001</v>
      </c>
      <c r="AP87">
        <v>1359.4721159999999</v>
      </c>
      <c r="AQ87">
        <v>68.167658419999995</v>
      </c>
    </row>
    <row r="88" spans="1:43" x14ac:dyDescent="0.35">
      <c r="A88">
        <v>2</v>
      </c>
      <c r="B88">
        <v>611</v>
      </c>
      <c r="C88" s="2" t="s">
        <v>35</v>
      </c>
      <c r="D88" s="2" t="s">
        <v>50</v>
      </c>
      <c r="E88" s="2">
        <v>4</v>
      </c>
      <c r="F88" s="2">
        <v>386</v>
      </c>
      <c r="G88" s="2">
        <v>87.084422970000006</v>
      </c>
      <c r="H88" s="2">
        <v>13.51</v>
      </c>
      <c r="I88" s="4">
        <v>14.998999999999997</v>
      </c>
      <c r="J88" s="4">
        <v>3.4404715699999961</v>
      </c>
      <c r="K88" s="3">
        <v>90</v>
      </c>
      <c r="L88" t="s">
        <v>40</v>
      </c>
      <c r="M88">
        <v>4</v>
      </c>
      <c r="N88" s="2">
        <v>10</v>
      </c>
      <c r="O88" s="1">
        <f t="shared" si="2"/>
        <v>14</v>
      </c>
      <c r="P88" s="1">
        <f t="shared" si="3"/>
        <v>3</v>
      </c>
      <c r="Q88" s="2">
        <v>17</v>
      </c>
      <c r="R88" s="2">
        <v>17.647058823529413</v>
      </c>
      <c r="S88">
        <v>30</v>
      </c>
      <c r="T88">
        <v>57.22</v>
      </c>
      <c r="U88">
        <v>27.218</v>
      </c>
      <c r="V88">
        <v>47.567284170000001</v>
      </c>
      <c r="W88" s="3">
        <v>26.05</v>
      </c>
      <c r="X88" s="3">
        <v>5.74190749</v>
      </c>
      <c r="Y88" s="3">
        <v>44.85</v>
      </c>
      <c r="Z88">
        <v>2.6755852839999998</v>
      </c>
      <c r="AA88">
        <v>11.558528430000001</v>
      </c>
      <c r="AB88">
        <v>1.951471572</v>
      </c>
      <c r="AC88">
        <v>14.44464524</v>
      </c>
      <c r="AD88">
        <v>66.368000949999995</v>
      </c>
      <c r="AE88">
        <v>51.292725130000001</v>
      </c>
      <c r="AF88">
        <v>125.575</v>
      </c>
      <c r="AG88">
        <v>176.8677251</v>
      </c>
      <c r="AH88">
        <v>110.4997242</v>
      </c>
      <c r="AI88">
        <v>62.475911920000001</v>
      </c>
      <c r="AJ88" s="3">
        <v>7.09</v>
      </c>
      <c r="AK88">
        <v>70.900000000000006</v>
      </c>
      <c r="AL88">
        <v>819.49966559999996</v>
      </c>
      <c r="AM88">
        <v>546.01933199999996</v>
      </c>
      <c r="AN88">
        <v>2050</v>
      </c>
      <c r="AO88">
        <v>2596.0193319999998</v>
      </c>
      <c r="AP88">
        <v>1776.5196659999999</v>
      </c>
      <c r="AQ88">
        <v>68.432451349999994</v>
      </c>
    </row>
    <row r="89" spans="1:43" x14ac:dyDescent="0.35">
      <c r="A89">
        <v>2</v>
      </c>
      <c r="B89">
        <v>612</v>
      </c>
      <c r="C89" s="2" t="s">
        <v>34</v>
      </c>
      <c r="D89" s="2" t="s">
        <v>53</v>
      </c>
      <c r="E89" s="2">
        <v>1</v>
      </c>
      <c r="F89" s="2">
        <v>330</v>
      </c>
      <c r="G89" s="2">
        <v>77.425756059999998</v>
      </c>
      <c r="H89" s="2">
        <v>11.55</v>
      </c>
      <c r="I89" s="4">
        <v>20.526</v>
      </c>
      <c r="J89" s="4">
        <v>14.408280241</v>
      </c>
      <c r="K89" s="3">
        <v>90</v>
      </c>
      <c r="L89" t="s">
        <v>40</v>
      </c>
      <c r="M89">
        <v>4</v>
      </c>
      <c r="N89" s="2">
        <v>3</v>
      </c>
      <c r="O89" s="1">
        <f t="shared" si="2"/>
        <v>7</v>
      </c>
      <c r="P89" s="1">
        <f t="shared" si="3"/>
        <v>10</v>
      </c>
      <c r="Q89" s="2">
        <v>17</v>
      </c>
      <c r="R89" s="2">
        <v>58.823529411764703</v>
      </c>
      <c r="S89">
        <v>30</v>
      </c>
      <c r="T89">
        <v>49.54</v>
      </c>
      <c r="U89">
        <v>19.5425</v>
      </c>
      <c r="V89">
        <v>39.447920869999997</v>
      </c>
      <c r="W89" s="3">
        <v>20.53</v>
      </c>
      <c r="X89" s="3">
        <v>8.7026838899999994</v>
      </c>
      <c r="Y89" s="3">
        <v>64.73</v>
      </c>
      <c r="Z89">
        <v>1.8538544720000001</v>
      </c>
      <c r="AA89">
        <v>6.1177197589999999</v>
      </c>
      <c r="AB89">
        <v>5.432280241</v>
      </c>
      <c r="AC89">
        <v>47.032729359999998</v>
      </c>
      <c r="AD89">
        <v>53.24058119</v>
      </c>
      <c r="AE89">
        <v>45.603770320000002</v>
      </c>
      <c r="AF89">
        <v>85.391000000000005</v>
      </c>
      <c r="AG89">
        <v>130.9947703</v>
      </c>
      <c r="AH89">
        <v>77.75418913</v>
      </c>
      <c r="AI89">
        <v>59.356712440000003</v>
      </c>
      <c r="AJ89" s="3">
        <v>5.29</v>
      </c>
      <c r="AK89">
        <v>52.9</v>
      </c>
      <c r="AL89">
        <v>323.62737529999998</v>
      </c>
      <c r="AM89">
        <v>485.45949050000002</v>
      </c>
      <c r="AN89">
        <v>1394</v>
      </c>
      <c r="AO89">
        <v>1879.45949</v>
      </c>
      <c r="AP89">
        <v>1555.8321149999999</v>
      </c>
      <c r="AQ89">
        <v>82.780827310000006</v>
      </c>
    </row>
    <row r="90" spans="1:43" x14ac:dyDescent="0.35">
      <c r="A90">
        <v>2</v>
      </c>
      <c r="B90">
        <v>613</v>
      </c>
      <c r="C90" s="2" t="s">
        <v>35</v>
      </c>
      <c r="D90" s="2" t="s">
        <v>47</v>
      </c>
      <c r="E90" s="2">
        <v>1</v>
      </c>
      <c r="F90" s="2">
        <v>414</v>
      </c>
      <c r="G90" s="2">
        <v>91.780465449999994</v>
      </c>
      <c r="H90" s="2">
        <v>14.49</v>
      </c>
      <c r="I90" s="4">
        <v>4.9730749999999997</v>
      </c>
      <c r="J90" s="4">
        <v>-4.5374145099999996</v>
      </c>
      <c r="K90" s="3">
        <v>360</v>
      </c>
      <c r="L90" t="s">
        <v>42</v>
      </c>
      <c r="M90">
        <v>0</v>
      </c>
      <c r="N90" s="2">
        <v>9</v>
      </c>
      <c r="O90" s="1">
        <f t="shared" si="2"/>
        <v>9</v>
      </c>
      <c r="P90" s="1">
        <f t="shared" si="3"/>
        <v>8</v>
      </c>
      <c r="Q90" s="2">
        <v>17</v>
      </c>
      <c r="R90" s="2">
        <v>47.058823529411768</v>
      </c>
      <c r="S90">
        <v>30</v>
      </c>
      <c r="T90">
        <v>50.29</v>
      </c>
      <c r="U90">
        <v>20.295000000000002</v>
      </c>
      <c r="V90">
        <v>40.35593557</v>
      </c>
      <c r="W90" s="3">
        <v>26.45</v>
      </c>
      <c r="X90" s="3">
        <v>8.0856034900000004</v>
      </c>
      <c r="Y90" s="3">
        <v>42.9</v>
      </c>
      <c r="Z90">
        <v>2.7972027970000002</v>
      </c>
      <c r="AA90">
        <v>9.5104895099999993</v>
      </c>
      <c r="AB90">
        <v>4.97951049</v>
      </c>
      <c r="AC90">
        <v>34.365151760000003</v>
      </c>
      <c r="AD90">
        <v>76.898047180000006</v>
      </c>
      <c r="AE90">
        <v>54.058694150000001</v>
      </c>
      <c r="AF90">
        <v>75.344999999999999</v>
      </c>
      <c r="AG90">
        <v>129.40369419999999</v>
      </c>
      <c r="AH90">
        <v>52.505646980000002</v>
      </c>
      <c r="AI90">
        <v>40.57507579</v>
      </c>
      <c r="AJ90" s="3">
        <v>7.41</v>
      </c>
      <c r="AK90">
        <v>74.099999999999994</v>
      </c>
      <c r="AL90">
        <v>704.72727269999996</v>
      </c>
      <c r="AM90">
        <v>575.4635184</v>
      </c>
      <c r="AN90">
        <v>1230</v>
      </c>
      <c r="AO90">
        <v>1805.463518</v>
      </c>
      <c r="AP90">
        <v>1100.7362459999999</v>
      </c>
      <c r="AQ90">
        <v>60.966961359999999</v>
      </c>
    </row>
    <row r="91" spans="1:43" x14ac:dyDescent="0.35">
      <c r="A91">
        <v>2</v>
      </c>
      <c r="B91">
        <v>615</v>
      </c>
      <c r="C91" s="2" t="s">
        <v>35</v>
      </c>
      <c r="D91" s="2" t="s">
        <v>47</v>
      </c>
      <c r="E91" s="2">
        <v>2</v>
      </c>
      <c r="F91" s="2">
        <v>438</v>
      </c>
      <c r="G91" s="2">
        <v>95.742680640000003</v>
      </c>
      <c r="H91" s="2">
        <v>15.33</v>
      </c>
      <c r="I91" s="4">
        <v>5.09945</v>
      </c>
      <c r="J91" s="4">
        <v>-2.8021583249999997</v>
      </c>
      <c r="K91" s="3">
        <v>30</v>
      </c>
      <c r="L91" t="s">
        <v>40</v>
      </c>
      <c r="M91">
        <v>6</v>
      </c>
      <c r="N91" s="2">
        <v>8</v>
      </c>
      <c r="O91" s="1">
        <f t="shared" si="2"/>
        <v>14</v>
      </c>
      <c r="P91" s="1">
        <f t="shared" si="3"/>
        <v>4</v>
      </c>
      <c r="Q91" s="2">
        <v>18</v>
      </c>
      <c r="R91" s="2">
        <v>22.222222222222221</v>
      </c>
      <c r="S91">
        <v>60</v>
      </c>
      <c r="T91">
        <v>50.896999999999998</v>
      </c>
      <c r="U91">
        <v>-9.1029999999999998</v>
      </c>
      <c r="V91">
        <v>-17.885140580000002</v>
      </c>
      <c r="W91" s="3">
        <v>26.68</v>
      </c>
      <c r="X91" s="3">
        <v>8.8371929599999994</v>
      </c>
      <c r="Y91" s="3">
        <v>52.85</v>
      </c>
      <c r="Z91">
        <v>2.2705771050000001</v>
      </c>
      <c r="AA91">
        <v>7.9016083249999998</v>
      </c>
      <c r="AB91">
        <v>7.4283916750000003</v>
      </c>
      <c r="AC91">
        <v>48.456566700000003</v>
      </c>
      <c r="AD91">
        <v>69.828037469999998</v>
      </c>
      <c r="AE91">
        <v>56.392438900000002</v>
      </c>
      <c r="AF91">
        <v>90.414000000000001</v>
      </c>
      <c r="AG91">
        <v>146.80643889999999</v>
      </c>
      <c r="AH91">
        <v>76.978401430000005</v>
      </c>
      <c r="AI91">
        <v>52.435303249999997</v>
      </c>
      <c r="AJ91" s="3">
        <v>8.94</v>
      </c>
      <c r="AK91">
        <v>89.4</v>
      </c>
      <c r="AL91">
        <v>706.40378429999998</v>
      </c>
      <c r="AM91">
        <v>600.30660760000001</v>
      </c>
      <c r="AN91">
        <v>1476</v>
      </c>
      <c r="AO91">
        <v>2076.3066079999999</v>
      </c>
      <c r="AP91">
        <v>1369.9028229999999</v>
      </c>
      <c r="AQ91">
        <v>65.977867540000005</v>
      </c>
    </row>
    <row r="92" spans="1:43" x14ac:dyDescent="0.35">
      <c r="A92">
        <v>2</v>
      </c>
      <c r="B92">
        <v>615</v>
      </c>
      <c r="C92" s="2" t="s">
        <v>35</v>
      </c>
      <c r="D92" s="2" t="s">
        <v>47</v>
      </c>
      <c r="E92" s="2">
        <v>1</v>
      </c>
      <c r="F92" s="2">
        <v>420</v>
      </c>
      <c r="G92" s="2">
        <v>92.776282760000001</v>
      </c>
      <c r="H92" s="2">
        <v>14.7</v>
      </c>
      <c r="I92" s="4">
        <v>6.7770000000000001</v>
      </c>
      <c r="J92" s="4">
        <v>-1.3852225769999995</v>
      </c>
      <c r="K92" s="3">
        <v>240</v>
      </c>
      <c r="L92" t="s">
        <v>42</v>
      </c>
      <c r="M92">
        <v>0</v>
      </c>
      <c r="N92" s="2">
        <v>4</v>
      </c>
      <c r="O92" s="1">
        <f t="shared" si="2"/>
        <v>4</v>
      </c>
      <c r="P92" s="1">
        <f t="shared" si="3"/>
        <v>14</v>
      </c>
      <c r="Q92" s="2">
        <v>18</v>
      </c>
      <c r="R92" s="2">
        <v>77.777777777777771</v>
      </c>
      <c r="S92">
        <v>30</v>
      </c>
      <c r="T92">
        <v>56.766500000000001</v>
      </c>
      <c r="U92">
        <v>26.766500000000001</v>
      </c>
      <c r="V92">
        <v>47.151929389999999</v>
      </c>
      <c r="W92" s="3">
        <v>22.06</v>
      </c>
      <c r="X92" s="3">
        <v>6.6133584399999998</v>
      </c>
      <c r="Y92" s="3">
        <v>62.63</v>
      </c>
      <c r="Z92">
        <v>1.916014689</v>
      </c>
      <c r="AA92">
        <v>8.1622225769999996</v>
      </c>
      <c r="AB92">
        <v>6.5377774229999996</v>
      </c>
      <c r="AC92">
        <v>44.474676350000003</v>
      </c>
      <c r="AD92">
        <v>53.979703569999998</v>
      </c>
      <c r="AE92">
        <v>54.645230550000001</v>
      </c>
      <c r="AF92">
        <v>90.414000000000001</v>
      </c>
      <c r="AG92">
        <v>145.05923050000001</v>
      </c>
      <c r="AH92">
        <v>91.079526979999997</v>
      </c>
      <c r="AI92">
        <v>62.787818899999998</v>
      </c>
      <c r="AJ92" s="3">
        <v>8.94</v>
      </c>
      <c r="AK92">
        <v>89.4</v>
      </c>
      <c r="AL92">
        <v>729.70269840000003</v>
      </c>
      <c r="AM92">
        <v>581.70729289999997</v>
      </c>
      <c r="AN92">
        <v>1476</v>
      </c>
      <c r="AO92">
        <v>2057.7072929999999</v>
      </c>
      <c r="AP92">
        <v>1328.0045950000001</v>
      </c>
      <c r="AQ92">
        <v>64.538071040000005</v>
      </c>
    </row>
    <row r="93" spans="1:43" x14ac:dyDescent="0.35">
      <c r="A93">
        <v>2</v>
      </c>
      <c r="B93">
        <v>615</v>
      </c>
      <c r="C93" s="2" t="s">
        <v>35</v>
      </c>
      <c r="D93" s="2" t="s">
        <v>51</v>
      </c>
      <c r="E93" s="2">
        <v>4</v>
      </c>
      <c r="F93" s="2">
        <v>447</v>
      </c>
      <c r="G93" s="2">
        <v>97.214409459999999</v>
      </c>
      <c r="H93" s="2">
        <v>15.645</v>
      </c>
      <c r="I93" s="4">
        <v>8.3582999999999998</v>
      </c>
      <c r="J93" s="4">
        <v>-1.1309915979999996</v>
      </c>
      <c r="K93" s="3">
        <v>120</v>
      </c>
      <c r="L93" t="s">
        <v>41</v>
      </c>
      <c r="M93">
        <v>2</v>
      </c>
      <c r="N93" s="2">
        <v>5</v>
      </c>
      <c r="O93" s="1">
        <f t="shared" si="2"/>
        <v>7</v>
      </c>
      <c r="P93" s="1">
        <f t="shared" si="3"/>
        <v>11</v>
      </c>
      <c r="Q93" s="2">
        <v>18</v>
      </c>
      <c r="R93" s="2">
        <v>61.111111111111114</v>
      </c>
      <c r="S93">
        <v>40</v>
      </c>
      <c r="T93">
        <v>57.218000000000004</v>
      </c>
      <c r="U93">
        <v>17.218</v>
      </c>
      <c r="V93">
        <v>30.091929109999999</v>
      </c>
      <c r="W93" s="3">
        <v>33.94</v>
      </c>
      <c r="X93" s="3">
        <v>8.95334656</v>
      </c>
      <c r="Y93" s="3">
        <v>54.63</v>
      </c>
      <c r="Z93">
        <v>2.1965952770000001</v>
      </c>
      <c r="AA93">
        <v>9.4892915979999994</v>
      </c>
      <c r="AB93">
        <v>6.1557084020000001</v>
      </c>
      <c r="AC93">
        <v>39.346170669999999</v>
      </c>
      <c r="AD93">
        <v>84.96091629</v>
      </c>
      <c r="AE93">
        <v>57.25928717</v>
      </c>
      <c r="AF93">
        <v>90.414000000000001</v>
      </c>
      <c r="AG93">
        <v>147.6732872</v>
      </c>
      <c r="AH93">
        <v>62.712370890000003</v>
      </c>
      <c r="AI93">
        <v>42.46697022</v>
      </c>
      <c r="AJ93" s="3">
        <v>8.94</v>
      </c>
      <c r="AK93">
        <v>89.4</v>
      </c>
      <c r="AL93">
        <v>848.34266890000004</v>
      </c>
      <c r="AM93">
        <v>609.53434730000004</v>
      </c>
      <c r="AN93">
        <v>1476</v>
      </c>
      <c r="AO93">
        <v>2085.5343469999998</v>
      </c>
      <c r="AP93">
        <v>1237.1916779999999</v>
      </c>
      <c r="AQ93">
        <v>59.322527100000002</v>
      </c>
    </row>
    <row r="94" spans="1:43" x14ac:dyDescent="0.35">
      <c r="A94">
        <v>2</v>
      </c>
      <c r="B94">
        <v>615</v>
      </c>
      <c r="C94" s="2" t="s">
        <v>35</v>
      </c>
      <c r="D94" s="2" t="s">
        <v>54</v>
      </c>
      <c r="E94" s="2">
        <v>5</v>
      </c>
      <c r="F94" s="2">
        <v>560</v>
      </c>
      <c r="G94" s="2">
        <v>115.1174127</v>
      </c>
      <c r="H94" s="2">
        <v>19.600000000000001</v>
      </c>
      <c r="I94" s="4">
        <v>7.0028999999999995</v>
      </c>
      <c r="J94" s="4">
        <v>-1.0569573170000011</v>
      </c>
      <c r="K94" s="3">
        <v>90</v>
      </c>
      <c r="L94" t="s">
        <v>40</v>
      </c>
      <c r="M94">
        <v>4</v>
      </c>
      <c r="N94" s="2">
        <v>17</v>
      </c>
      <c r="O94" s="1">
        <f t="shared" si="2"/>
        <v>21</v>
      </c>
      <c r="P94" s="1">
        <f t="shared" si="3"/>
        <v>4</v>
      </c>
      <c r="Q94" s="2">
        <v>25</v>
      </c>
      <c r="R94" s="2">
        <v>16</v>
      </c>
      <c r="S94" s="2">
        <v>35</v>
      </c>
      <c r="W94" s="3">
        <v>23</v>
      </c>
      <c r="X94" s="3">
        <v>8.0367306900000006</v>
      </c>
      <c r="Y94" s="3">
        <v>57.47</v>
      </c>
      <c r="Z94">
        <v>2.088045937</v>
      </c>
      <c r="AA94">
        <v>8.0598573170000005</v>
      </c>
      <c r="AB94">
        <v>11.540142680000001</v>
      </c>
      <c r="AC94">
        <v>58.878278999999999</v>
      </c>
      <c r="AD94">
        <v>64.774902659999995</v>
      </c>
      <c r="AE94">
        <v>67.8041561</v>
      </c>
      <c r="AF94">
        <v>90.414000000000001</v>
      </c>
      <c r="AG94">
        <v>158.21815609999999</v>
      </c>
      <c r="AH94">
        <v>93.443253440000007</v>
      </c>
      <c r="AI94">
        <v>59.059753790000002</v>
      </c>
      <c r="AJ94" s="3">
        <v>8.94</v>
      </c>
      <c r="AK94">
        <v>89.4</v>
      </c>
      <c r="AL94">
        <v>720.55124409999996</v>
      </c>
      <c r="AM94">
        <v>721.78617780000002</v>
      </c>
      <c r="AN94">
        <v>1476</v>
      </c>
      <c r="AO94">
        <v>2197.7861779999998</v>
      </c>
      <c r="AP94">
        <v>1477.2349340000001</v>
      </c>
      <c r="AQ94">
        <v>67.214679419999996</v>
      </c>
    </row>
    <row r="95" spans="1:43" x14ac:dyDescent="0.35">
      <c r="A95">
        <v>2</v>
      </c>
      <c r="B95">
        <v>616</v>
      </c>
      <c r="C95" s="2" t="s">
        <v>34</v>
      </c>
      <c r="D95" s="2" t="s">
        <v>53</v>
      </c>
      <c r="E95" s="2">
        <v>2</v>
      </c>
      <c r="F95" s="2">
        <v>382</v>
      </c>
      <c r="G95" s="2">
        <v>86.40672051</v>
      </c>
      <c r="H95" s="2">
        <v>13.37</v>
      </c>
      <c r="I95" s="4">
        <v>10.1655</v>
      </c>
      <c r="J95" s="4">
        <v>3.7345235689999994</v>
      </c>
      <c r="K95" s="3">
        <v>90</v>
      </c>
      <c r="L95" t="s">
        <v>40</v>
      </c>
      <c r="M95">
        <v>4</v>
      </c>
      <c r="N95" s="2">
        <v>2</v>
      </c>
      <c r="O95" s="1">
        <f t="shared" si="2"/>
        <v>6</v>
      </c>
      <c r="P95" s="1">
        <f t="shared" si="3"/>
        <v>11</v>
      </c>
      <c r="Q95" s="2">
        <v>17</v>
      </c>
      <c r="R95" s="2">
        <v>64.705882352941174</v>
      </c>
      <c r="S95">
        <v>40</v>
      </c>
      <c r="T95">
        <v>53.455500000000001</v>
      </c>
      <c r="U95">
        <v>13.455500000000001</v>
      </c>
      <c r="V95">
        <v>25.171404249999998</v>
      </c>
      <c r="W95" s="3">
        <v>30.73</v>
      </c>
      <c r="X95" s="3">
        <v>7.2406211599999999</v>
      </c>
      <c r="Y95" s="3">
        <v>71.28</v>
      </c>
      <c r="Z95">
        <v>1.6835016840000001</v>
      </c>
      <c r="AA95">
        <v>6.4309764310000004</v>
      </c>
      <c r="AB95">
        <v>6.9390235689999997</v>
      </c>
      <c r="AC95">
        <v>51.899951899999998</v>
      </c>
      <c r="AD95">
        <v>46.564264029999997</v>
      </c>
      <c r="AE95">
        <v>50.893558380000002</v>
      </c>
      <c r="AF95">
        <v>85.391000000000005</v>
      </c>
      <c r="AG95">
        <v>136.28455840000001</v>
      </c>
      <c r="AH95">
        <v>89.720294350000003</v>
      </c>
      <c r="AI95">
        <v>65.833059460000001</v>
      </c>
      <c r="AJ95" s="3">
        <v>7.92</v>
      </c>
      <c r="AK95">
        <v>79.2</v>
      </c>
      <c r="AL95">
        <v>509.33333329999999</v>
      </c>
      <c r="AM95">
        <v>541.7701376</v>
      </c>
      <c r="AN95">
        <v>1394</v>
      </c>
      <c r="AO95">
        <v>1935.7701380000001</v>
      </c>
      <c r="AP95">
        <v>1426.4368039999999</v>
      </c>
      <c r="AQ95">
        <v>73.688336059999997</v>
      </c>
    </row>
    <row r="96" spans="1:43" x14ac:dyDescent="0.35">
      <c r="A96">
        <v>2</v>
      </c>
      <c r="B96">
        <v>618</v>
      </c>
      <c r="C96" s="2" t="s">
        <v>34</v>
      </c>
      <c r="D96" s="2" t="s">
        <v>53</v>
      </c>
      <c r="E96" s="2">
        <v>3</v>
      </c>
      <c r="F96" s="2">
        <v>367</v>
      </c>
      <c r="G96" s="2">
        <v>83.849320629999994</v>
      </c>
      <c r="H96" s="2">
        <v>12.845000000000001</v>
      </c>
      <c r="I96" s="4">
        <v>17.469899999999999</v>
      </c>
      <c r="J96" s="4">
        <v>-2.1640185699999996</v>
      </c>
      <c r="K96" s="3">
        <v>60</v>
      </c>
      <c r="L96" t="s">
        <v>40</v>
      </c>
      <c r="M96">
        <v>6</v>
      </c>
      <c r="N96" s="2">
        <v>4</v>
      </c>
      <c r="O96" s="1">
        <f t="shared" si="2"/>
        <v>10</v>
      </c>
      <c r="P96" s="1">
        <f t="shared" si="3"/>
        <v>5</v>
      </c>
      <c r="Q96" s="2">
        <v>15</v>
      </c>
      <c r="R96" s="2">
        <v>33.333333333333336</v>
      </c>
      <c r="S96">
        <v>40</v>
      </c>
      <c r="T96">
        <v>57.669499999999999</v>
      </c>
      <c r="U96">
        <v>17.669499999999999</v>
      </c>
      <c r="V96">
        <v>30.639246050000001</v>
      </c>
      <c r="W96" s="3">
        <v>31.7</v>
      </c>
      <c r="X96" s="3">
        <v>8.103529</v>
      </c>
      <c r="Y96" s="3">
        <v>26.77</v>
      </c>
      <c r="Z96">
        <v>4.4826298089999996</v>
      </c>
      <c r="AA96">
        <v>19.633918569999999</v>
      </c>
      <c r="AB96">
        <v>-6.7889185660000004</v>
      </c>
      <c r="AC96">
        <v>-52.852616310000002</v>
      </c>
      <c r="AD96">
        <v>159.1040285</v>
      </c>
      <c r="AE96">
        <v>49.387249850000003</v>
      </c>
      <c r="AF96">
        <v>75.344999999999999</v>
      </c>
      <c r="AG96">
        <v>124.7322499</v>
      </c>
      <c r="AH96">
        <v>-34.371778630000001</v>
      </c>
      <c r="AI96">
        <v>-27.556448849999999</v>
      </c>
      <c r="AJ96" s="3">
        <v>14.98</v>
      </c>
      <c r="AK96">
        <v>149.80000000000001</v>
      </c>
      <c r="AL96">
        <v>2941.1610009999999</v>
      </c>
      <c r="AM96">
        <v>525.73524039999995</v>
      </c>
      <c r="AN96">
        <v>1230</v>
      </c>
      <c r="AO96">
        <v>1755.73524</v>
      </c>
      <c r="AP96">
        <v>-1185.425761</v>
      </c>
      <c r="AQ96">
        <v>-67.517341650000006</v>
      </c>
    </row>
    <row r="97" spans="1:43" x14ac:dyDescent="0.35">
      <c r="A97">
        <v>2</v>
      </c>
      <c r="B97">
        <v>618</v>
      </c>
      <c r="C97" s="2" t="s">
        <v>35</v>
      </c>
      <c r="D97" s="2" t="s">
        <v>55</v>
      </c>
      <c r="E97" s="2">
        <v>2</v>
      </c>
      <c r="F97" s="2">
        <v>518</v>
      </c>
      <c r="G97" s="2">
        <v>108.5793706</v>
      </c>
      <c r="H97" s="2">
        <v>18.13</v>
      </c>
      <c r="I97" s="4">
        <v>6.3986000000000001</v>
      </c>
      <c r="J97" s="4">
        <v>-2.7720286319999996</v>
      </c>
      <c r="K97" s="3">
        <v>180</v>
      </c>
      <c r="L97" t="s">
        <v>41</v>
      </c>
      <c r="M97">
        <v>1</v>
      </c>
      <c r="N97" s="2">
        <v>3</v>
      </c>
      <c r="O97" s="1">
        <f t="shared" si="2"/>
        <v>4</v>
      </c>
      <c r="P97" s="1">
        <f t="shared" si="3"/>
        <v>11</v>
      </c>
      <c r="Q97" s="2">
        <v>15</v>
      </c>
      <c r="R97" s="2">
        <v>73.333333333333329</v>
      </c>
      <c r="S97">
        <v>20</v>
      </c>
      <c r="T97">
        <v>55.908499999999997</v>
      </c>
      <c r="U97">
        <v>35.908499999999997</v>
      </c>
      <c r="V97">
        <v>64.22726419</v>
      </c>
      <c r="W97" s="3">
        <v>34.53</v>
      </c>
      <c r="X97" s="3">
        <v>8.2639286900000002</v>
      </c>
      <c r="Y97" s="3">
        <v>56.79</v>
      </c>
      <c r="Z97">
        <v>2.1130480720000002</v>
      </c>
      <c r="AA97">
        <v>9.1706286319999997</v>
      </c>
      <c r="AB97">
        <v>8.9593713679999993</v>
      </c>
      <c r="AC97">
        <v>49.417382060000001</v>
      </c>
      <c r="AD97">
        <v>75.785421060000004</v>
      </c>
      <c r="AE97">
        <v>63.953249280000001</v>
      </c>
      <c r="AF97">
        <v>75.344999999999999</v>
      </c>
      <c r="AG97">
        <v>139.29824930000001</v>
      </c>
      <c r="AH97">
        <v>63.512828220000003</v>
      </c>
      <c r="AI97">
        <v>45.594850289999997</v>
      </c>
      <c r="AJ97" s="3">
        <v>14.98</v>
      </c>
      <c r="AK97">
        <v>149.80000000000001</v>
      </c>
      <c r="AL97">
        <v>1373.7601689999999</v>
      </c>
      <c r="AM97">
        <v>680.79265359999999</v>
      </c>
      <c r="AN97">
        <v>1230</v>
      </c>
      <c r="AO97">
        <v>1910.7926540000001</v>
      </c>
      <c r="AP97">
        <v>537.03248450000001</v>
      </c>
      <c r="AQ97">
        <v>28.105220289999998</v>
      </c>
    </row>
    <row r="98" spans="1:43" x14ac:dyDescent="0.35">
      <c r="A98">
        <v>2</v>
      </c>
      <c r="B98">
        <v>619</v>
      </c>
      <c r="C98" s="2" t="s">
        <v>34</v>
      </c>
      <c r="D98" s="2" t="s">
        <v>53</v>
      </c>
      <c r="E98" s="2"/>
      <c r="F98" s="2">
        <v>340</v>
      </c>
      <c r="G98" s="2">
        <v>79.178849639999996</v>
      </c>
      <c r="H98" s="2">
        <v>11.9</v>
      </c>
      <c r="I98" s="4">
        <v>6.3986000000000001</v>
      </c>
      <c r="J98" s="4">
        <v>-0.48800937099999953</v>
      </c>
      <c r="K98" s="3">
        <v>90</v>
      </c>
      <c r="L98" t="s">
        <v>40</v>
      </c>
      <c r="M98">
        <v>4</v>
      </c>
      <c r="N98" s="2">
        <v>3.5</v>
      </c>
      <c r="O98" s="1">
        <f t="shared" si="2"/>
        <v>7.5</v>
      </c>
      <c r="P98" s="1">
        <f t="shared" si="3"/>
        <v>7.5</v>
      </c>
      <c r="Q98" s="2">
        <v>15</v>
      </c>
      <c r="R98" s="2">
        <v>50</v>
      </c>
      <c r="S98" s="2">
        <v>35</v>
      </c>
      <c r="W98" s="3">
        <v>12.91</v>
      </c>
      <c r="X98" s="3">
        <v>7.0974342100000003</v>
      </c>
      <c r="Y98" s="3">
        <v>72.14</v>
      </c>
      <c r="Z98">
        <v>1.663432215</v>
      </c>
      <c r="AA98">
        <v>6.8866093709999996</v>
      </c>
      <c r="AB98">
        <v>5.0133906289999999</v>
      </c>
      <c r="AC98">
        <v>42.129333019999997</v>
      </c>
      <c r="AD98">
        <v>48.877256940000002</v>
      </c>
      <c r="AE98">
        <v>46.63634244</v>
      </c>
      <c r="AF98">
        <v>85.391000000000005</v>
      </c>
      <c r="AG98">
        <v>132.02734240000001</v>
      </c>
      <c r="AH98">
        <v>83.150085500000003</v>
      </c>
      <c r="AI98">
        <v>62.97944347</v>
      </c>
      <c r="AJ98" s="3">
        <v>10.1</v>
      </c>
      <c r="AK98">
        <v>101</v>
      </c>
      <c r="AL98">
        <v>695.54754639999999</v>
      </c>
      <c r="AM98">
        <v>496.45138730000002</v>
      </c>
      <c r="AN98">
        <v>1394</v>
      </c>
      <c r="AO98">
        <v>1890.4513870000001</v>
      </c>
      <c r="AP98">
        <v>1194.9038410000001</v>
      </c>
      <c r="AQ98">
        <v>63.207329680000001</v>
      </c>
    </row>
    <row r="99" spans="1:43" x14ac:dyDescent="0.35">
      <c r="A99">
        <v>2</v>
      </c>
      <c r="B99">
        <v>620</v>
      </c>
      <c r="C99" s="2" t="s">
        <v>34</v>
      </c>
      <c r="D99" s="2" t="s">
        <v>53</v>
      </c>
      <c r="E99" s="2"/>
      <c r="F99" s="2">
        <v>408</v>
      </c>
      <c r="G99" s="2">
        <v>90.78103342</v>
      </c>
      <c r="H99" s="2">
        <v>14.28</v>
      </c>
      <c r="I99" s="4">
        <v>9.6999999999999993</v>
      </c>
      <c r="J99" s="4">
        <v>-2.9712922800000001</v>
      </c>
      <c r="K99" s="3">
        <v>75</v>
      </c>
      <c r="L99" t="s">
        <v>40</v>
      </c>
      <c r="M99">
        <v>4</v>
      </c>
      <c r="N99" s="2">
        <v>4</v>
      </c>
      <c r="O99" s="1">
        <f t="shared" si="2"/>
        <v>8</v>
      </c>
      <c r="P99" s="1">
        <f t="shared" si="3"/>
        <v>7</v>
      </c>
      <c r="Q99" s="2">
        <v>15</v>
      </c>
      <c r="R99" s="2">
        <v>46.666666666666664</v>
      </c>
      <c r="S99">
        <v>20</v>
      </c>
      <c r="T99">
        <v>59.896749999999997</v>
      </c>
      <c r="U99">
        <v>39.896749999999997</v>
      </c>
      <c r="V99">
        <v>66.60920668</v>
      </c>
      <c r="W99" s="3">
        <v>24.5</v>
      </c>
      <c r="X99" s="3">
        <v>6.2806598899999999</v>
      </c>
      <c r="Y99" s="3">
        <v>46.12</v>
      </c>
      <c r="Z99">
        <v>2.601908066</v>
      </c>
      <c r="AA99">
        <v>12.671292279999999</v>
      </c>
      <c r="AB99">
        <v>1.6087077190000001</v>
      </c>
      <c r="AC99">
        <v>11.26546022</v>
      </c>
      <c r="AD99">
        <v>79.584077179999994</v>
      </c>
      <c r="AE99">
        <v>53.470028689999999</v>
      </c>
      <c r="AF99">
        <v>90.414000000000001</v>
      </c>
      <c r="AG99">
        <v>143.88402869999999</v>
      </c>
      <c r="AH99">
        <v>64.299951500000006</v>
      </c>
      <c r="AI99">
        <v>44.688734459999999</v>
      </c>
      <c r="AJ99" s="3">
        <v>10.31</v>
      </c>
      <c r="AK99">
        <v>103.1</v>
      </c>
      <c r="AL99">
        <v>1306.4102339999999</v>
      </c>
      <c r="AM99">
        <v>569.19707960000005</v>
      </c>
      <c r="AN99">
        <v>1476</v>
      </c>
      <c r="AO99">
        <v>2045.1970799999999</v>
      </c>
      <c r="AP99">
        <v>738.78684539999995</v>
      </c>
      <c r="AQ99">
        <v>36.123014879999999</v>
      </c>
    </row>
    <row r="100" spans="1:43" x14ac:dyDescent="0.35">
      <c r="A100">
        <v>2</v>
      </c>
      <c r="B100">
        <v>621</v>
      </c>
      <c r="C100" s="2" t="s">
        <v>35</v>
      </c>
      <c r="D100" s="2" t="s">
        <v>52</v>
      </c>
      <c r="E100" s="2">
        <v>2</v>
      </c>
      <c r="F100" s="2">
        <v>390</v>
      </c>
      <c r="G100" s="2">
        <v>87.760371960000001</v>
      </c>
      <c r="H100" s="2">
        <v>13.65</v>
      </c>
      <c r="I100" s="4">
        <v>6.51</v>
      </c>
      <c r="J100" s="4">
        <v>-2.6459251560000006</v>
      </c>
      <c r="K100" s="3">
        <v>360</v>
      </c>
      <c r="L100" t="s">
        <v>42</v>
      </c>
      <c r="M100">
        <v>0</v>
      </c>
      <c r="N100" s="2">
        <v>4.5</v>
      </c>
      <c r="O100" s="1">
        <f t="shared" si="2"/>
        <v>4.5</v>
      </c>
      <c r="P100" s="1">
        <f t="shared" si="3"/>
        <v>13.5</v>
      </c>
      <c r="Q100" s="2">
        <v>18</v>
      </c>
      <c r="R100" s="2">
        <v>75</v>
      </c>
      <c r="S100">
        <v>40</v>
      </c>
      <c r="T100">
        <v>50.866750000000003</v>
      </c>
      <c r="U100">
        <v>10.86675</v>
      </c>
      <c r="V100">
        <v>21.363169460000002</v>
      </c>
      <c r="W100" s="3">
        <v>13.91</v>
      </c>
      <c r="X100" s="3">
        <v>7.3931194900000001</v>
      </c>
      <c r="Y100" s="3">
        <v>48.1</v>
      </c>
      <c r="Z100">
        <v>2.4948024950000001</v>
      </c>
      <c r="AA100">
        <v>9.1559251560000003</v>
      </c>
      <c r="AB100">
        <v>4.494074844</v>
      </c>
      <c r="AC100">
        <v>32.923625229999999</v>
      </c>
      <c r="AD100">
        <v>67.690848720000005</v>
      </c>
      <c r="AE100">
        <v>51.690859080000003</v>
      </c>
      <c r="AF100">
        <v>90.414000000000001</v>
      </c>
      <c r="AG100">
        <v>142.1048591</v>
      </c>
      <c r="AH100">
        <v>74.41401037</v>
      </c>
      <c r="AI100">
        <v>52.365563600000002</v>
      </c>
      <c r="AJ100" s="3">
        <v>14.93</v>
      </c>
      <c r="AK100">
        <v>149.30000000000001</v>
      </c>
      <c r="AL100">
        <v>1366.9796260000001</v>
      </c>
      <c r="AM100">
        <v>550.25753220000001</v>
      </c>
      <c r="AN100">
        <v>1476</v>
      </c>
      <c r="AO100">
        <v>2026.2575320000001</v>
      </c>
      <c r="AP100">
        <v>659.27790640000001</v>
      </c>
      <c r="AQ100">
        <v>32.536728230000001</v>
      </c>
    </row>
    <row r="101" spans="1:43" x14ac:dyDescent="0.35">
      <c r="A101">
        <v>2</v>
      </c>
      <c r="B101">
        <v>622</v>
      </c>
      <c r="C101" s="2" t="s">
        <v>34</v>
      </c>
      <c r="D101" s="2" t="s">
        <v>53</v>
      </c>
      <c r="E101" s="2">
        <v>5</v>
      </c>
      <c r="F101" s="2">
        <v>248</v>
      </c>
      <c r="G101" s="2">
        <v>62.494062960000001</v>
      </c>
      <c r="H101" s="2">
        <v>8.68</v>
      </c>
      <c r="I101" s="4">
        <v>6.3986000000000001</v>
      </c>
      <c r="J101" s="4">
        <v>-6.5244769199999997</v>
      </c>
      <c r="K101" s="3">
        <v>270</v>
      </c>
      <c r="L101" t="s">
        <v>42</v>
      </c>
      <c r="M101">
        <v>0</v>
      </c>
      <c r="N101" s="2">
        <v>2</v>
      </c>
      <c r="O101" s="1">
        <f t="shared" si="2"/>
        <v>2</v>
      </c>
      <c r="P101" s="1">
        <f t="shared" si="3"/>
        <v>16</v>
      </c>
      <c r="Q101" s="2">
        <v>18</v>
      </c>
      <c r="R101" s="2">
        <v>88.888888888888886</v>
      </c>
      <c r="S101">
        <v>30</v>
      </c>
      <c r="T101">
        <v>62.229500000000002</v>
      </c>
      <c r="U101">
        <v>32.229500000000002</v>
      </c>
      <c r="V101">
        <v>51.791352979999999</v>
      </c>
      <c r="W101" s="3">
        <v>13.91</v>
      </c>
      <c r="X101" s="3">
        <v>4.9450174899999997</v>
      </c>
      <c r="Y101" s="3">
        <v>48.1</v>
      </c>
      <c r="Z101">
        <v>2.4948024950000001</v>
      </c>
      <c r="AA101">
        <v>12.92307692</v>
      </c>
      <c r="AB101">
        <v>-4.2430769230000003</v>
      </c>
      <c r="AC101">
        <v>-48.883374689999997</v>
      </c>
      <c r="AD101">
        <v>63.904841410000003</v>
      </c>
      <c r="AE101">
        <v>36.809003079999997</v>
      </c>
      <c r="AF101">
        <v>75.344999999999999</v>
      </c>
      <c r="AG101">
        <v>112.1540031</v>
      </c>
      <c r="AH101">
        <v>48.24916168</v>
      </c>
      <c r="AI101">
        <v>43.02045433</v>
      </c>
      <c r="AJ101" s="3">
        <v>10.79</v>
      </c>
      <c r="AK101">
        <v>107.9</v>
      </c>
      <c r="AL101">
        <v>1394.4</v>
      </c>
      <c r="AM101">
        <v>391.83777479999998</v>
      </c>
      <c r="AN101">
        <v>1230</v>
      </c>
      <c r="AO101">
        <v>1621.837775</v>
      </c>
      <c r="AP101">
        <v>227.4377748</v>
      </c>
      <c r="AQ101">
        <v>14.02346019</v>
      </c>
    </row>
    <row r="102" spans="1:43" x14ac:dyDescent="0.35">
      <c r="A102">
        <v>2</v>
      </c>
      <c r="B102">
        <v>622</v>
      </c>
      <c r="C102" s="2" t="s">
        <v>34</v>
      </c>
      <c r="D102" s="2" t="s">
        <v>53</v>
      </c>
      <c r="E102" s="2">
        <v>1</v>
      </c>
      <c r="F102" s="2">
        <v>308</v>
      </c>
      <c r="G102" s="2">
        <v>73.521276259999993</v>
      </c>
      <c r="H102" s="2">
        <v>10.78</v>
      </c>
      <c r="I102" s="4">
        <v>6.0785999999999998</v>
      </c>
      <c r="J102" s="4">
        <v>-1.0778885499999999</v>
      </c>
      <c r="K102" s="3">
        <v>180</v>
      </c>
      <c r="L102" t="s">
        <v>41</v>
      </c>
      <c r="M102">
        <v>1</v>
      </c>
      <c r="N102" s="2">
        <v>2</v>
      </c>
      <c r="O102" s="1">
        <f t="shared" si="2"/>
        <v>3</v>
      </c>
      <c r="P102" s="1">
        <f t="shared" si="3"/>
        <v>15</v>
      </c>
      <c r="Q102" s="2">
        <v>18</v>
      </c>
      <c r="R102" s="2">
        <v>83.333333333333329</v>
      </c>
      <c r="S102">
        <v>40</v>
      </c>
      <c r="T102">
        <v>51.46875</v>
      </c>
      <c r="U102">
        <v>11.46875</v>
      </c>
      <c r="V102">
        <v>22.282938680000001</v>
      </c>
      <c r="W102" s="3">
        <v>30.05</v>
      </c>
      <c r="X102" s="3">
        <v>7.11120061</v>
      </c>
      <c r="Y102" s="3">
        <v>62.88</v>
      </c>
      <c r="Z102">
        <v>1.908396947</v>
      </c>
      <c r="AA102">
        <v>7.1564885499999997</v>
      </c>
      <c r="AB102">
        <v>3.6235114500000001</v>
      </c>
      <c r="AC102">
        <v>33.61327876</v>
      </c>
      <c r="AD102">
        <v>50.891225740000003</v>
      </c>
      <c r="AE102">
        <v>43.304031719999998</v>
      </c>
      <c r="AF102">
        <v>75.344999999999999</v>
      </c>
      <c r="AG102">
        <v>118.64903169999999</v>
      </c>
      <c r="AH102">
        <v>67.757805980000001</v>
      </c>
      <c r="AI102">
        <v>57.107761429999996</v>
      </c>
      <c r="AJ102" s="3">
        <v>10.79</v>
      </c>
      <c r="AK102">
        <v>107.9</v>
      </c>
      <c r="AL102">
        <v>772.18511450000005</v>
      </c>
      <c r="AM102">
        <v>460.97840209999998</v>
      </c>
      <c r="AN102">
        <v>1230</v>
      </c>
      <c r="AO102">
        <v>1690.978402</v>
      </c>
      <c r="AP102">
        <v>918.79328759999999</v>
      </c>
      <c r="AQ102">
        <v>54.335010220000001</v>
      </c>
    </row>
    <row r="103" spans="1:43" x14ac:dyDescent="0.35">
      <c r="A103">
        <v>2</v>
      </c>
      <c r="B103">
        <v>622</v>
      </c>
      <c r="C103" s="2" t="s">
        <v>34</v>
      </c>
      <c r="D103" s="2" t="s">
        <v>46</v>
      </c>
      <c r="E103" s="2">
        <v>1</v>
      </c>
      <c r="F103" s="2">
        <v>364</v>
      </c>
      <c r="G103" s="2">
        <v>83.334730969999995</v>
      </c>
      <c r="H103" s="2">
        <v>12.74</v>
      </c>
      <c r="I103" s="4">
        <v>8.4512</v>
      </c>
      <c r="J103" s="4">
        <v>-0.61368549600000044</v>
      </c>
      <c r="K103" s="3">
        <v>360</v>
      </c>
      <c r="L103" t="s">
        <v>42</v>
      </c>
      <c r="M103">
        <v>0</v>
      </c>
      <c r="N103" s="2">
        <v>2</v>
      </c>
      <c r="O103" s="1">
        <f t="shared" si="2"/>
        <v>2</v>
      </c>
      <c r="P103" s="1">
        <f t="shared" si="3"/>
        <v>16</v>
      </c>
      <c r="Q103" s="2">
        <v>18</v>
      </c>
      <c r="R103" s="2">
        <v>88.888888888888886</v>
      </c>
      <c r="S103" s="2">
        <v>35</v>
      </c>
      <c r="W103" s="3">
        <v>30.05</v>
      </c>
      <c r="X103" s="3">
        <v>6.55056349</v>
      </c>
      <c r="Y103" s="3">
        <v>62.88</v>
      </c>
      <c r="Z103">
        <v>1.908396947</v>
      </c>
      <c r="AA103">
        <v>9.0648854960000005</v>
      </c>
      <c r="AB103">
        <v>3.6751145040000002</v>
      </c>
      <c r="AC103">
        <v>28.847052619999999</v>
      </c>
      <c r="AD103">
        <v>59.380107969999997</v>
      </c>
      <c r="AE103">
        <v>49.084156540000002</v>
      </c>
      <c r="AF103">
        <v>75.344999999999999</v>
      </c>
      <c r="AG103">
        <v>124.4291565</v>
      </c>
      <c r="AH103">
        <v>65.049048569999997</v>
      </c>
      <c r="AI103">
        <v>52.277979199999997</v>
      </c>
      <c r="AJ103" s="3">
        <v>10.79</v>
      </c>
      <c r="AK103">
        <v>107.9</v>
      </c>
      <c r="AL103">
        <v>978.10114499999997</v>
      </c>
      <c r="AM103">
        <v>522.50876319999998</v>
      </c>
      <c r="AN103">
        <v>1230</v>
      </c>
      <c r="AO103">
        <v>1752.508763</v>
      </c>
      <c r="AP103">
        <v>774.4076182</v>
      </c>
      <c r="AQ103">
        <v>44.18851617</v>
      </c>
    </row>
    <row r="104" spans="1:43" x14ac:dyDescent="0.35">
      <c r="A104">
        <v>2</v>
      </c>
      <c r="B104">
        <v>623</v>
      </c>
      <c r="C104" s="2" t="s">
        <v>34</v>
      </c>
      <c r="D104" s="2" t="s">
        <v>46</v>
      </c>
      <c r="E104" s="2">
        <v>1</v>
      </c>
      <c r="F104" s="2">
        <v>340</v>
      </c>
      <c r="G104" s="2">
        <v>79.178849639999996</v>
      </c>
      <c r="H104" s="2">
        <v>11.9</v>
      </c>
      <c r="I104" s="4">
        <v>8.0299999999999994</v>
      </c>
      <c r="J104" s="4">
        <v>2.8025276659999996</v>
      </c>
      <c r="K104" s="3">
        <v>150</v>
      </c>
      <c r="L104" t="s">
        <v>41</v>
      </c>
      <c r="M104">
        <v>1</v>
      </c>
      <c r="N104" s="2">
        <v>9</v>
      </c>
      <c r="O104" s="1">
        <f t="shared" si="2"/>
        <v>10</v>
      </c>
      <c r="P104" s="1">
        <f t="shared" si="3"/>
        <v>7</v>
      </c>
      <c r="Q104" s="2">
        <v>17</v>
      </c>
      <c r="R104" s="2">
        <v>41.176470588235297</v>
      </c>
      <c r="S104">
        <v>25</v>
      </c>
      <c r="T104">
        <v>41.911999999999999</v>
      </c>
      <c r="U104">
        <v>16.911999999999999</v>
      </c>
      <c r="V104">
        <v>40.351212060000002</v>
      </c>
      <c r="W104" s="3">
        <v>26.41</v>
      </c>
      <c r="X104" s="3">
        <v>7.3931194900000001</v>
      </c>
      <c r="Y104" s="3">
        <v>56.93</v>
      </c>
      <c r="Z104">
        <v>2.1078517479999999</v>
      </c>
      <c r="AA104">
        <v>5.2274723339999998</v>
      </c>
      <c r="AB104">
        <v>6.6725276659999997</v>
      </c>
      <c r="AC104">
        <v>56.071661059999997</v>
      </c>
      <c r="AD104">
        <v>38.647327599999997</v>
      </c>
      <c r="AE104">
        <v>46.63634244</v>
      </c>
      <c r="AF104">
        <v>85.391000000000005</v>
      </c>
      <c r="AG104">
        <v>132.02734240000001</v>
      </c>
      <c r="AH104">
        <v>93.380014840000001</v>
      </c>
      <c r="AI104">
        <v>70.72778495</v>
      </c>
      <c r="AJ104" s="3">
        <v>16.91</v>
      </c>
      <c r="AK104">
        <v>169.1</v>
      </c>
      <c r="AL104">
        <v>883.96557180000002</v>
      </c>
      <c r="AM104">
        <v>496.45138730000002</v>
      </c>
      <c r="AN104">
        <v>1394</v>
      </c>
      <c r="AO104">
        <v>1890.4513870000001</v>
      </c>
      <c r="AP104">
        <v>1006.485816</v>
      </c>
      <c r="AQ104">
        <v>53.240502360000001</v>
      </c>
    </row>
    <row r="105" spans="1:43" x14ac:dyDescent="0.35">
      <c r="A105">
        <v>2</v>
      </c>
      <c r="B105">
        <v>624</v>
      </c>
      <c r="C105" s="2" t="s">
        <v>34</v>
      </c>
      <c r="D105" s="2" t="s">
        <v>46</v>
      </c>
      <c r="E105" s="2">
        <v>3</v>
      </c>
      <c r="F105" s="2">
        <v>348</v>
      </c>
      <c r="G105" s="2">
        <v>80.572053600000004</v>
      </c>
      <c r="H105" s="2">
        <v>12.18</v>
      </c>
      <c r="I105" s="4">
        <v>4.3657000000000004</v>
      </c>
      <c r="J105" s="4">
        <v>-2.1264833830000001</v>
      </c>
      <c r="K105" s="3">
        <v>90</v>
      </c>
      <c r="L105" t="s">
        <v>40</v>
      </c>
      <c r="M105">
        <v>4</v>
      </c>
      <c r="N105" s="2">
        <v>8</v>
      </c>
      <c r="O105" s="1">
        <f t="shared" si="2"/>
        <v>12</v>
      </c>
      <c r="P105" s="1">
        <f t="shared" si="3"/>
        <v>5</v>
      </c>
      <c r="Q105" s="2">
        <v>17</v>
      </c>
      <c r="R105" s="2">
        <v>29.411764705882351</v>
      </c>
      <c r="S105">
        <v>25</v>
      </c>
      <c r="T105">
        <v>46.427</v>
      </c>
      <c r="U105">
        <v>21.427</v>
      </c>
      <c r="V105">
        <v>46.152023610000001</v>
      </c>
      <c r="W105" s="3">
        <v>26.41</v>
      </c>
      <c r="X105" s="3">
        <v>6.9273710099999999</v>
      </c>
      <c r="Y105" s="3">
        <v>56.93</v>
      </c>
      <c r="Z105">
        <v>2.1078517479999999</v>
      </c>
      <c r="AA105">
        <v>6.4921833830000004</v>
      </c>
      <c r="AB105">
        <v>5.6878166170000002</v>
      </c>
      <c r="AC105">
        <v>46.698001779999998</v>
      </c>
      <c r="AD105">
        <v>44.973762960000002</v>
      </c>
      <c r="AE105">
        <v>47.456939570000003</v>
      </c>
      <c r="AF105">
        <v>85.391000000000005</v>
      </c>
      <c r="AG105">
        <v>132.84793959999999</v>
      </c>
      <c r="AH105">
        <v>87.874176610000006</v>
      </c>
      <c r="AI105">
        <v>66.146435460000006</v>
      </c>
      <c r="AJ105" s="3">
        <v>12.09</v>
      </c>
      <c r="AK105">
        <v>120.9</v>
      </c>
      <c r="AL105">
        <v>784.90497100000005</v>
      </c>
      <c r="AM105">
        <v>505.18677609999997</v>
      </c>
      <c r="AN105">
        <v>1394</v>
      </c>
      <c r="AO105">
        <v>1899.186776</v>
      </c>
      <c r="AP105">
        <v>1114.2818050000001</v>
      </c>
      <c r="AQ105">
        <v>58.671522940000003</v>
      </c>
    </row>
    <row r="106" spans="1:43" x14ac:dyDescent="0.35">
      <c r="A106">
        <v>2</v>
      </c>
      <c r="B106">
        <v>625</v>
      </c>
      <c r="C106" s="2" t="s">
        <v>34</v>
      </c>
      <c r="D106" s="2" t="s">
        <v>46</v>
      </c>
      <c r="E106" s="2">
        <v>2</v>
      </c>
      <c r="F106" s="2">
        <v>426</v>
      </c>
      <c r="G106" s="2">
        <v>93.768549789999994</v>
      </c>
      <c r="H106" s="2">
        <v>14.91</v>
      </c>
      <c r="I106" s="4">
        <v>6.3862000000000005</v>
      </c>
      <c r="J106" s="4">
        <v>-1.2863803619999992</v>
      </c>
      <c r="K106" s="3">
        <v>60</v>
      </c>
      <c r="L106" t="s">
        <v>40</v>
      </c>
      <c r="M106">
        <v>6</v>
      </c>
      <c r="N106" s="2">
        <v>9</v>
      </c>
      <c r="O106" s="1">
        <f t="shared" si="2"/>
        <v>15</v>
      </c>
      <c r="P106" s="1">
        <f t="shared" si="3"/>
        <v>2</v>
      </c>
      <c r="Q106" s="2">
        <v>17</v>
      </c>
      <c r="R106" s="2">
        <v>11.764705882352942</v>
      </c>
      <c r="S106">
        <v>30</v>
      </c>
      <c r="T106">
        <v>50.640999999999998</v>
      </c>
      <c r="U106">
        <v>20.640999999999998</v>
      </c>
      <c r="V106">
        <v>40.759463680000003</v>
      </c>
      <c r="W106" s="3">
        <v>26.41</v>
      </c>
      <c r="X106" s="3">
        <v>5.2144000000000004</v>
      </c>
      <c r="Y106" s="3">
        <v>56.93</v>
      </c>
      <c r="Z106">
        <v>2.1078517479999999</v>
      </c>
      <c r="AA106">
        <v>7.6725803619999997</v>
      </c>
      <c r="AB106">
        <v>7.2374196380000004</v>
      </c>
      <c r="AC106">
        <v>48.540708510000002</v>
      </c>
      <c r="AD106">
        <v>40.007903040000002</v>
      </c>
      <c r="AE106">
        <v>55.229675829999998</v>
      </c>
      <c r="AF106">
        <v>85.391000000000005</v>
      </c>
      <c r="AG106">
        <v>140.62067579999999</v>
      </c>
      <c r="AH106">
        <v>100.6127728</v>
      </c>
      <c r="AI106">
        <v>71.549060760000003</v>
      </c>
      <c r="AJ106" s="3">
        <v>24.53</v>
      </c>
      <c r="AK106">
        <v>245.3</v>
      </c>
      <c r="AL106">
        <v>1882.083963</v>
      </c>
      <c r="AM106">
        <v>587.92880720000005</v>
      </c>
      <c r="AN106">
        <v>1394</v>
      </c>
      <c r="AO106">
        <v>1981.928807</v>
      </c>
      <c r="AP106">
        <v>99.844844420000001</v>
      </c>
      <c r="AQ106">
        <v>5.0377613999999999</v>
      </c>
    </row>
    <row r="107" spans="1:43" x14ac:dyDescent="0.35">
      <c r="A107">
        <v>2</v>
      </c>
      <c r="B107">
        <v>628</v>
      </c>
      <c r="C107" s="2" t="s">
        <v>34</v>
      </c>
      <c r="D107" s="2" t="s">
        <v>46</v>
      </c>
      <c r="E107" s="2"/>
      <c r="F107" s="2">
        <v>243</v>
      </c>
      <c r="G107" s="2">
        <v>61.54669054</v>
      </c>
      <c r="H107" s="2">
        <v>8.5050000000000008</v>
      </c>
      <c r="I107" s="4">
        <v>8.1649000000000012</v>
      </c>
      <c r="J107" s="4">
        <v>3.188790785000001</v>
      </c>
      <c r="K107" s="3">
        <v>9</v>
      </c>
      <c r="L107" t="s">
        <v>40</v>
      </c>
      <c r="M107">
        <v>6</v>
      </c>
      <c r="N107" s="2">
        <v>2</v>
      </c>
      <c r="O107" s="1">
        <f t="shared" si="2"/>
        <v>8</v>
      </c>
      <c r="P107" s="1">
        <f t="shared" si="3"/>
        <v>10</v>
      </c>
      <c r="Q107" s="2">
        <v>18</v>
      </c>
      <c r="R107" s="2">
        <v>55.555555555555557</v>
      </c>
      <c r="S107" s="2">
        <v>35</v>
      </c>
      <c r="X107" s="3">
        <v>5.2144000000000004</v>
      </c>
      <c r="Y107" s="3">
        <v>58.6</v>
      </c>
      <c r="Z107">
        <v>2.0477815700000002</v>
      </c>
      <c r="AA107">
        <v>4.9761092150000001</v>
      </c>
      <c r="AB107">
        <v>3.5288907850000002</v>
      </c>
      <c r="AC107">
        <v>41.491955140000002</v>
      </c>
      <c r="AD107">
        <v>25.94742389</v>
      </c>
      <c r="AE107">
        <v>36.251000730000001</v>
      </c>
      <c r="AF107">
        <v>90.414000000000001</v>
      </c>
      <c r="AG107">
        <v>126.66500069999999</v>
      </c>
      <c r="AH107">
        <v>100.7175768</v>
      </c>
      <c r="AI107">
        <v>79.514922240000004</v>
      </c>
      <c r="AJ107" s="3">
        <v>16</v>
      </c>
      <c r="AK107">
        <v>160</v>
      </c>
      <c r="AL107">
        <v>796.17747440000005</v>
      </c>
      <c r="AM107">
        <v>385.89774970000002</v>
      </c>
      <c r="AN107">
        <v>1476</v>
      </c>
      <c r="AO107">
        <v>1861.8977500000001</v>
      </c>
      <c r="AP107">
        <v>1065.7202749999999</v>
      </c>
      <c r="AQ107">
        <v>57.238388919999998</v>
      </c>
    </row>
  </sheetData>
  <dataValidations count="1">
    <dataValidation allowBlank="1" showInputMessage="1" showErrorMessage="1" promptTitle="cow breed" prompt="1=exotic_x000a_2=cross" sqref="C1:C1048576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250788820737</dc:creator>
  <cp:lastModifiedBy>250788820737</cp:lastModifiedBy>
  <dcterms:created xsi:type="dcterms:W3CDTF">2024-04-18T14:41:38Z</dcterms:created>
  <dcterms:modified xsi:type="dcterms:W3CDTF">2025-03-17T08:37:49Z</dcterms:modified>
</cp:coreProperties>
</file>